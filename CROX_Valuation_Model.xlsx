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ROX-Valuation-LBO-MA\outputs\"/>
    </mc:Choice>
  </mc:AlternateContent>
  <xr:revisionPtr revIDLastSave="0" documentId="13_ncr:1_{C85C7953-ED96-423F-9FD1-04876B6CDC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" r:id="rId1"/>
    <sheet name="Dashboard" sheetId="2" r:id="rId2"/>
    <sheet name="Valuation" sheetId="3" r:id="rId3"/>
    <sheet name="Football_Field" sheetId="4" r:id="rId4"/>
    <sheet name="Inputs" sheetId="5" r:id="rId5"/>
    <sheet name="Rev_Build" sheetId="6" r:id="rId6"/>
    <sheet name="IS" sheetId="7" r:id="rId7"/>
    <sheet name="BS" sheetId="8" r:id="rId8"/>
    <sheet name="CF" sheetId="9" r:id="rId9"/>
    <sheet name="NWC" sheetId="10" r:id="rId10"/>
    <sheet name="Fixed_Assets" sheetId="11" r:id="rId11"/>
    <sheet name="Tax" sheetId="12" r:id="rId12"/>
    <sheet name="Debt" sheetId="13" r:id="rId13"/>
    <sheet name="Equity" sheetId="14" r:id="rId14"/>
    <sheet name="WACC" sheetId="15" r:id="rId15"/>
    <sheet name="DCF" sheetId="16" r:id="rId16"/>
    <sheet name="Sensitivity" sheetId="17" r:id="rId17"/>
    <sheet name="Comps" sheetId="18" r:id="rId18"/>
    <sheet name="Precedents" sheetId="19" r:id="rId19"/>
    <sheet name="LBO" sheetId="20" r:id="rId20"/>
    <sheet name="LBO_CF" sheetId="21" r:id="rId21"/>
    <sheet name="HEYDUDE" sheetId="22" r:id="rId22"/>
    <sheet name="Merger" sheetId="23" r:id="rId23"/>
    <sheet name="Hist" sheetId="24" r:id="rId24"/>
  </sheets>
  <definedNames>
    <definedName name="BBSpread">WACC!$C$19</definedName>
    <definedName name="Beta">WACC!$C$16</definedName>
    <definedName name="Beta_2yDaily">WACC!$C$9</definedName>
    <definedName name="Beta_Blume">WACC!$C$8</definedName>
    <definedName name="Beta_BU_Relev">WACC!$C$15</definedName>
    <definedName name="Beta_BU_Unlev">WACC!$C$10</definedName>
    <definedName name="Beta_Raw">WACC!$C$7</definedName>
    <definedName name="BookEquityJun">Valuation!$C$17</definedName>
    <definedName name="Br_Cash">Valuation!$C$34</definedName>
    <definedName name="Br_Debt">Valuation!$C$33</definedName>
    <definedName name="Br_UTP">Valuation!$C$35</definedName>
    <definedName name="BuybackPxMode">Inputs!$E$12</definedName>
    <definedName name="CashJun">Valuation!$C$14</definedName>
    <definedName name="CashRate">Inputs!$E$15</definedName>
    <definedName name="CircSwitch">Inputs!$E$8</definedName>
    <definedName name="CommitFee">Inputs!$E$18</definedName>
    <definedName name="Comps_EV_High">Comps!$F$30</definedName>
    <definedName name="Comps_EV_Low">Comps!$D$30</definedName>
    <definedName name="Comps_EV_Value">Comps!$E$30</definedName>
    <definedName name="Comps_PE_High">Comps!$F$31</definedName>
    <definedName name="Comps_PE_Low">Comps!$D$31</definedName>
    <definedName name="Comps_PE_Value">Comps!$E$31</definedName>
    <definedName name="Coupon_Notes29">Inputs!$E$21</definedName>
    <definedName name="Coupon_Notes31">Inputs!$E$22</definedName>
    <definedName name="Coverage26">WACC!$C$22</definedName>
    <definedName name="DCF_Base">Valuation!$C$66</definedName>
    <definedName name="DCF_Bear">Valuation!$C$68</definedName>
    <definedName name="DCF_Bull">Valuation!$C$67</definedName>
    <definedName name="DCF_PW">Valuation!$C$69</definedName>
    <definedName name="DE_Market">WACC!$C$13</definedName>
    <definedName name="DebtFace">WACC!$C$11</definedName>
    <definedName name="Dilution">Inputs!$E$27</definedName>
    <definedName name="DTAYears">Valuation!$C$12</definedName>
    <definedName name="Eq_Jun">Valuation!$C$36</definedName>
    <definedName name="Eq_Sep">Valuation!$C$37</definedName>
    <definedName name="ERP">WACC!$C$6</definedName>
    <definedName name="EV_DCF">Valuation!$C$31</definedName>
    <definedName name="ExcessToBuybacks">Inputs!$E$11</definedName>
    <definedName name="ExitMultiple">Valuation!$C$9</definedName>
    <definedName name="FCFF_2035">Valuation!$C$20</definedName>
    <definedName name="FCFF_TV">Valuation!$C$21</definedName>
    <definedName name="FeeAmort">Inputs!$E$25</definedName>
    <definedName name="GMShift">Sensitivity!$C$6</definedName>
    <definedName name="GrowthShift">Sensitivity!$C$5</definedName>
    <definedName name="H2Share">Valuation!$C$11</definedName>
    <definedName name="HD_Carrying">HEYDUDE!$C$30</definedName>
    <definedName name="HD_Cash">HEYDUDE!$C$6</definedName>
    <definedName name="HD_CorpAlloc">HEYDUDE!$C$25</definedName>
    <definedName name="HD_CumNOPAT">HEYDUDE!$C$14</definedName>
    <definedName name="HD_Destroyed">HEYDUDE!$C$22</definedName>
    <definedName name="HD_Destroyed_PS">HEYDUDE!$C$23</definedName>
    <definedName name="HD_EBITDA21">HEYDUDE!$C$9</definedName>
    <definedName name="HD_EBITDA26">HEYDUDE!$C$19</definedName>
    <definedName name="HD_EntryMult">HEYDUDE!$C$10</definedName>
    <definedName name="HD_FV">HEYDUDE!$C$29</definedName>
    <definedName name="HD_Goodwill0">HEYDUDE!$C$11</definedName>
    <definedName name="HD_Headline">HEYDUDE!$C$5</definedName>
    <definedName name="HD_Headroom">HEYDUDE!$C$31</definedName>
    <definedName name="HD_Impair25">HEYDUDE!$C$12</definedName>
    <definedName name="HD_Mult_Today">HEYDUDE!$C$20</definedName>
    <definedName name="HD_Paid">HEYDUDE!$C$8</definedName>
    <definedName name="HD_Premium">HEYDUDE!$C$27</definedName>
    <definedName name="HD_Reinvest">HEYDUDE!$C$26</definedName>
    <definedName name="HD_ROIC_25">HEYDUDE!$C$16</definedName>
    <definedName name="HD_ROIC_30">HEYDUDE!$C$17</definedName>
    <definedName name="HD_ROIC_Peak">HEYDUDE!$C$15</definedName>
    <definedName name="HD_Stock">HEYDUDE!$C$7</definedName>
    <definedName name="HD_TG">HEYDUDE!$C$28</definedName>
    <definedName name="HD_Value_Today">HEYDUDE!$C$21</definedName>
    <definedName name="HD_Verdict">HEYDUDE!$C$32</definedName>
    <definedName name="Impl_EV_EBITDA">Valuation!$C$41</definedName>
    <definedName name="Impl_Exit">Valuation!$C$25</definedName>
    <definedName name="Impl_g">Valuation!$C$26</definedName>
    <definedName name="Impl_HD_EV">Valuation!$C$60</definedName>
    <definedName name="Impl_HD_Mult">Valuation!$C$61</definedName>
    <definedName name="Impl_PE">Valuation!$C$43</definedName>
    <definedName name="Justified_PE">Valuation!$C$48</definedName>
    <definedName name="Kd">WACC!$C$20</definedName>
    <definedName name="Kd_AT">WACC!$C$21</definedName>
    <definedName name="Ke">WACC!$C$17</definedName>
    <definedName name="LBO_AdvFee">LBO!$C$19</definedName>
    <definedName name="LBO_Amort">LBO!$C$17</definedName>
    <definedName name="LBO_EBITDA0">LBO!$C$11</definedName>
    <definedName name="LBO_EBITDA5">LBO!$C$35</definedName>
    <definedName name="LBO_EntryMult">LBO!$C$12</definedName>
    <definedName name="LBO_EqPct">LBO!$C$33</definedName>
    <definedName name="LBO_EqPrice">LBO!$C$7</definedName>
    <definedName name="LBO_Equity0">LBO!$C$26</definedName>
    <definedName name="LBO_EV">LBO!$C$10</definedName>
    <definedName name="LBO_ExistCash">LBO!$C$9</definedName>
    <definedName name="LBO_ExitEq">LBO!$C$38</definedName>
    <definedName name="LBO_ExitEV">LBO!$C$36</definedName>
    <definedName name="LBO_ExitMult">LBO!$C$21</definedName>
    <definedName name="LBO_FinFee">LBO!$C$20</definedName>
    <definedName name="LBO_IRR">LBO!$C$40</definedName>
    <definedName name="LBO_MOIC">LBO!$C$39</definedName>
    <definedName name="LBO_ND5">LBO!$C$37</definedName>
    <definedName name="LBO_Notes">LBO!$C$24</definedName>
    <definedName name="LBO_Notes_Rate">LBO!$C$16</definedName>
    <definedName name="LBO_Notes_x">LBO!$C$14</definedName>
    <definedName name="LBO_OfferPx">LBO!$C$6</definedName>
    <definedName name="LBO_Premium">LBO!$C$5</definedName>
    <definedName name="LBO_Px20">LBO!$C$48</definedName>
    <definedName name="LBO_Px25">LBO!$C$49</definedName>
    <definedName name="LBO_RefiDebt">LBO!$C$8</definedName>
    <definedName name="LBO_Sources">LBO!$C$27</definedName>
    <definedName name="LBO_SrcCash">LBO!$C$25</definedName>
    <definedName name="LBO_Sweep">LBO!$C$18</definedName>
    <definedName name="LBO_TLB">LBO!$C$23</definedName>
    <definedName name="LBO_TLB_Spread">LBO!$C$15</definedName>
    <definedName name="LBO_TLB_x">LBO!$C$13</definedName>
    <definedName name="LBO_U_Cash">LBO!$C$31</definedName>
    <definedName name="LBO_U_Eq">LBO!$C$28</definedName>
    <definedName name="LBO_U_Fees">LBO!$C$30</definedName>
    <definedName name="LBO_U_Refi">LBO!$C$29</definedName>
    <definedName name="LBO_Uses">LBO!$C$32</definedName>
    <definedName name="LBO_VC_Check">LBO!$C$46</definedName>
    <definedName name="LBO_VC_Delev">LBO!$C$44</definedName>
    <definedName name="LBO_VC_EBITDA">LBO!$C$42</definedName>
    <definedName name="LBO_VC_Fees">LBO!$C$45</definedName>
    <definedName name="LBO_VC_Mult">LBO!$C$43</definedName>
    <definedName name="LTM_EBITDA">Precedents!$I$14</definedName>
    <definedName name="M_A_Cash">Merger!$C$9</definedName>
    <definedName name="M_A_EPS">Merger!$C$7</definedName>
    <definedName name="M_A_MinCash">Merger!$C$10</definedName>
    <definedName name="M_A_NI">Merger!$C$28</definedName>
    <definedName name="M_A_PE">Merger!$C$8</definedName>
    <definedName name="M_A_Price">Merger!$C$5</definedName>
    <definedName name="M_A_Shares">Merger!$C$6</definedName>
    <definedName name="M_Accretion">Merger!$C$37</definedName>
    <definedName name="M_Amort_AT">Merger!$C$33</definedName>
    <definedName name="M_Breakeven">Merger!$C$38</definedName>
    <definedName name="M_CashNeed">Merger!$C$19</definedName>
    <definedName name="M_CashRate">Merger!$C$23</definedName>
    <definedName name="M_CashUsed">Merger!$C$20</definedName>
    <definedName name="M_DebtRate">Merger!$C$22</definedName>
    <definedName name="M_EqPrice">Merger!$C$15</definedName>
    <definedName name="M_Forgone_AT">Merger!$C$32</definedName>
    <definedName name="M_Int_AT">Merger!$C$31</definedName>
    <definedName name="M_NewDebt">Merger!$C$21</definedName>
    <definedName name="M_NewShares">Merger!$C$18</definedName>
    <definedName name="M_NI_Share">Merger!$C$40</definedName>
    <definedName name="M_OfferPx">Merger!$C$14</definedName>
    <definedName name="M_Own">Merger!$C$39</definedName>
    <definedName name="M_PctStock">Merger!$C$17</definedName>
    <definedName name="M_PF_EPS">Merger!$C$36</definedName>
    <definedName name="M_PF_NI">Merger!$C$34</definedName>
    <definedName name="M_PF_Shares">Merger!$C$35</definedName>
    <definedName name="M_PPA">Merger!$C$25</definedName>
    <definedName name="M_PPA_Life">Merger!$C$26</definedName>
    <definedName name="M_Premium">Merger!$C$13</definedName>
    <definedName name="M_Syn_AT">Merger!$C$30</definedName>
    <definedName name="M_Synergies">Merger!$C$24</definedName>
    <definedName name="M_T_NI">Merger!$C$29</definedName>
    <definedName name="M_T_PE">Merger!$C$16</definedName>
    <definedName name="M_Tax">Merger!$C$11</definedName>
    <definedName name="MarketEV">Valuation!$C$59</definedName>
    <definedName name="MasterCheck">BS!$E$40</definedName>
    <definedName name="MinCash">Inputs!$E$14</definedName>
    <definedName name="MktCap">WACC!$C$12</definedName>
    <definedName name="N_End">Valuation!$C$22</definedName>
    <definedName name="NTM_EPS">Valuation!$C$42</definedName>
    <definedName name="Payout27">Valuation!$C$47</definedName>
    <definedName name="Prec_High">Precedents!$J$17</definedName>
    <definedName name="Prec_Low">Precedents!$J$15</definedName>
    <definedName name="Prec_Value">Precedents!$J$16</definedName>
    <definedName name="PriceGrowth">Inputs!$E$13</definedName>
    <definedName name="PriceTarget">Valuation!$C$74</definedName>
    <definedName name="_xlnm.Print_Titles" localSheetId="7">BS!$B:$B,BS!$4:$5</definedName>
    <definedName name="_xlnm.Print_Titles" localSheetId="8">CF!$B:$B,CF!$4:$5</definedName>
    <definedName name="_xlnm.Print_Titles" localSheetId="1">Dashboard!$B:$B,Dashboard!$4:$5</definedName>
    <definedName name="_xlnm.Print_Titles" localSheetId="15">DCF!$B:$B,DCF!$4:$5</definedName>
    <definedName name="_xlnm.Print_Titles" localSheetId="12">Debt!$B:$B,Debt!$4:$5</definedName>
    <definedName name="_xlnm.Print_Titles" localSheetId="13">Equity!$B:$B,Equity!$4:$5</definedName>
    <definedName name="_xlnm.Print_Titles" localSheetId="10">Fixed_Assets!$B:$B,Fixed_Assets!$4:$5</definedName>
    <definedName name="_xlnm.Print_Titles" localSheetId="23">Hist!$B:$B,Hist!$4:$5</definedName>
    <definedName name="_xlnm.Print_Titles" localSheetId="4">Inputs!$B:$B,Inputs!$4:$5</definedName>
    <definedName name="_xlnm.Print_Titles" localSheetId="6">IS!$B:$B,IS!$4:$5</definedName>
    <definedName name="_xlnm.Print_Titles" localSheetId="20">LBO_CF!$B:$B,LBO_CF!$4:$5</definedName>
    <definedName name="_xlnm.Print_Titles" localSheetId="9">NWC!$B:$B,NWC!$4:$5</definedName>
    <definedName name="_xlnm.Print_Titles" localSheetId="5">Rev_Build!$B:$B,Rev_Build!$4:$5</definedName>
    <definedName name="_xlnm.Print_Titles" localSheetId="11">Tax!$B:$B,Tax!$4:$5</definedName>
    <definedName name="PT_Raw">Valuation!$C$73</definedName>
    <definedName name="PT_Upside">Valuation!$C$75</definedName>
    <definedName name="PTW_DCF">Valuation!$C$70</definedName>
    <definedName name="PTW_EV">Valuation!$C$71</definedName>
    <definedName name="PTW_PE">Valuation!$C$72</definedName>
    <definedName name="PV_DTA">Valuation!$C$30</definedName>
    <definedName name="PV_Explicit">Valuation!$C$28</definedName>
    <definedName name="PV_TV">Valuation!$C$29</definedName>
    <definedName name="Rating">Valuation!$C$76</definedName>
    <definedName name="RDCF_Base_CAGR">Valuation!$C$80</definedName>
    <definedName name="RDCF_CAGR">Valuation!$C$79</definedName>
    <definedName name="RDCF_g">Valuation!$C$81</definedName>
    <definedName name="RDCF_Shift">Valuation!$C$78</definedName>
    <definedName name="RefiCoupon">Inputs!$E$24</definedName>
    <definedName name="RefiSwitch">Inputs!$E$23</definedName>
    <definedName name="RevolverCap">Inputs!$E$16</definedName>
    <definedName name="RevolverSpread">Inputs!$E$17</definedName>
    <definedName name="Rf">WACC!$C$5</definedName>
    <definedName name="RollFwd">Valuation!$C$13</definedName>
    <definedName name="RSUIssuance">Inputs!$E$26</definedName>
    <definedName name="Scenario">Inputs!$E$28</definedName>
    <definedName name="Scenario_Select">Inputs!$E$7</definedName>
    <definedName name="ScenarioOverride">Dashboard!$E$6</definedName>
    <definedName name="SharePrice">Inputs!$E$9</definedName>
    <definedName name="SharesDil">Valuation!$C$18</definedName>
    <definedName name="SharesOut">Inputs!$E$10</definedName>
    <definedName name="SOTP_Corp">Valuation!$C$53</definedName>
    <definedName name="SOTP_Crocs_EBITDA">Valuation!$C$51</definedName>
    <definedName name="SOTP_EV">Valuation!$C$57</definedName>
    <definedName name="SOTP_HD_EBITDA">Valuation!$C$52</definedName>
    <definedName name="SOTP_M_Corp">Valuation!$C$56</definedName>
    <definedName name="SOTP_M_Crocs">Valuation!$C$54</definedName>
    <definedName name="SOTP_M_HD">Valuation!$C$55</definedName>
    <definedName name="SynthRating">WACC!$C$23</definedName>
    <definedName name="TaxMarginal">WACC!$C$14</definedName>
    <definedName name="TaxTV">Valuation!$C$10</definedName>
    <definedName name="TG">Valuation!$C$8</definedName>
    <definedName name="TG_Base">Valuation!$C$5</definedName>
    <definedName name="TG_Bear">Valuation!$C$7</definedName>
    <definedName name="TG_Bull">Valuation!$C$6</definedName>
    <definedName name="TLBSpread">Inputs!$E$19</definedName>
    <definedName name="TLBSweep">Inputs!$E$20</definedName>
    <definedName name="TV_Exit">Valuation!$C$24</definedName>
    <definedName name="TV_Gordon">Valuation!$C$23</definedName>
    <definedName name="TV_Share">Valuation!$C$32</definedName>
    <definedName name="Upside">Valuation!$C$39</definedName>
    <definedName name="UTP">Valuation!$C$15</definedName>
    <definedName name="UTPPct">Valuation!$C$16</definedName>
    <definedName name="ValuePerShare">Valuation!$C$38</definedName>
    <definedName name="VPS_Exit">Valuation!$C$40</definedName>
    <definedName name="VPS_FCFE">Valuation!$C$45</definedName>
    <definedName name="VPS_JPE">Valuation!$C$49</definedName>
    <definedName name="VPS_RI">Valuation!$C$46</definedName>
    <definedName name="VPS_SOTP">Valuation!$C$58</definedName>
    <definedName name="W_Base">Valuation!$C$64</definedName>
    <definedName name="W_Bear">Valuation!$C$65</definedName>
    <definedName name="W_Bull">Valuation!$C$63</definedName>
    <definedName name="WACC">WACC!$C$26</definedName>
    <definedName name="Wd">WACC!$C$25</definedName>
  </definedNames>
  <calcPr calcId="191029" iterate="1" iterateCount="500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23" l="1"/>
  <c r="C28" i="23"/>
  <c r="C14" i="23"/>
  <c r="C8" i="23"/>
  <c r="K38" i="22"/>
  <c r="J38" i="22"/>
  <c r="I38" i="22"/>
  <c r="H38" i="22"/>
  <c r="G38" i="22"/>
  <c r="F38" i="22"/>
  <c r="E38" i="22"/>
  <c r="D38" i="22"/>
  <c r="C38" i="22"/>
  <c r="C10" i="22"/>
  <c r="C8" i="22"/>
  <c r="J23" i="21"/>
  <c r="C31" i="20"/>
  <c r="C6" i="20"/>
  <c r="K18" i="19"/>
  <c r="J11" i="19"/>
  <c r="I11" i="19"/>
  <c r="J10" i="19"/>
  <c r="I10" i="19"/>
  <c r="J9" i="19"/>
  <c r="I9" i="19"/>
  <c r="J8" i="19"/>
  <c r="I8" i="19"/>
  <c r="J7" i="19"/>
  <c r="I7" i="19"/>
  <c r="J6" i="19"/>
  <c r="I6" i="19"/>
  <c r="I17" i="19" s="1"/>
  <c r="D40" i="18"/>
  <c r="D39" i="18"/>
  <c r="O27" i="18"/>
  <c r="N27" i="18"/>
  <c r="M27" i="18"/>
  <c r="L27" i="18"/>
  <c r="O26" i="18"/>
  <c r="N26" i="18"/>
  <c r="M26" i="18"/>
  <c r="L26" i="18"/>
  <c r="O25" i="18"/>
  <c r="N25" i="18"/>
  <c r="M25" i="18"/>
  <c r="L25" i="18"/>
  <c r="O24" i="18"/>
  <c r="N24" i="18"/>
  <c r="M24" i="18"/>
  <c r="L24" i="18"/>
  <c r="O23" i="18"/>
  <c r="N23" i="18"/>
  <c r="M23" i="18"/>
  <c r="L23" i="18"/>
  <c r="O22" i="18"/>
  <c r="N22" i="18"/>
  <c r="M22" i="18"/>
  <c r="L22" i="18"/>
  <c r="O21" i="18"/>
  <c r="N21" i="18"/>
  <c r="M21" i="18"/>
  <c r="L21" i="18"/>
  <c r="O20" i="18"/>
  <c r="N20" i="18"/>
  <c r="M20" i="18"/>
  <c r="L20" i="18"/>
  <c r="O19" i="18"/>
  <c r="N19" i="18"/>
  <c r="M19" i="18"/>
  <c r="L19" i="18"/>
  <c r="S16" i="18"/>
  <c r="Q16" i="18"/>
  <c r="U16" i="18" s="1"/>
  <c r="P16" i="18"/>
  <c r="T16" i="18" s="1"/>
  <c r="S15" i="18"/>
  <c r="Q15" i="18"/>
  <c r="U15" i="18" s="1"/>
  <c r="P15" i="18"/>
  <c r="T15" i="18" s="1"/>
  <c r="S14" i="18"/>
  <c r="Q14" i="18"/>
  <c r="U14" i="18" s="1"/>
  <c r="P14" i="18"/>
  <c r="T14" i="18" s="1"/>
  <c r="S13" i="18"/>
  <c r="Q13" i="18"/>
  <c r="U13" i="18" s="1"/>
  <c r="P13" i="18"/>
  <c r="T13" i="18" s="1"/>
  <c r="S12" i="18"/>
  <c r="Q12" i="18"/>
  <c r="U12" i="18" s="1"/>
  <c r="P12" i="18"/>
  <c r="S11" i="18"/>
  <c r="Q11" i="18"/>
  <c r="U11" i="18" s="1"/>
  <c r="P11" i="18"/>
  <c r="S10" i="18"/>
  <c r="Q10" i="18"/>
  <c r="U10" i="18" s="1"/>
  <c r="P10" i="18"/>
  <c r="S9" i="18"/>
  <c r="Q9" i="18"/>
  <c r="U9" i="18" s="1"/>
  <c r="P9" i="18"/>
  <c r="T9" i="18" s="1"/>
  <c r="S8" i="18"/>
  <c r="Q8" i="18"/>
  <c r="U8" i="18" s="1"/>
  <c r="P8" i="18"/>
  <c r="T8" i="18" s="1"/>
  <c r="S7" i="18"/>
  <c r="Q7" i="18"/>
  <c r="U7" i="18" s="1"/>
  <c r="P7" i="18"/>
  <c r="T7" i="18" s="1"/>
  <c r="S6" i="18"/>
  <c r="Q6" i="18"/>
  <c r="U6" i="18" s="1"/>
  <c r="P6" i="18"/>
  <c r="T6" i="18" s="1"/>
  <c r="T27" i="18" s="1"/>
  <c r="G20" i="17"/>
  <c r="F20" i="17"/>
  <c r="E20" i="17"/>
  <c r="D20" i="17"/>
  <c r="C20" i="17"/>
  <c r="J31" i="16"/>
  <c r="S21" i="16"/>
  <c r="C22" i="3" s="1"/>
  <c r="R21" i="16"/>
  <c r="Q21" i="16"/>
  <c r="P21" i="16"/>
  <c r="O21" i="16"/>
  <c r="N21" i="16"/>
  <c r="M21" i="16"/>
  <c r="L21" i="16"/>
  <c r="K21" i="16"/>
  <c r="J19" i="16"/>
  <c r="S10" i="16"/>
  <c r="R10" i="16"/>
  <c r="Q10" i="16"/>
  <c r="P10" i="16"/>
  <c r="O10" i="16"/>
  <c r="N10" i="16"/>
  <c r="M10" i="16"/>
  <c r="L10" i="16"/>
  <c r="K10" i="16"/>
  <c r="J10" i="16"/>
  <c r="C20" i="15"/>
  <c r="C21" i="15" s="1"/>
  <c r="C12" i="15"/>
  <c r="C13" i="15" s="1"/>
  <c r="C15" i="15" s="1"/>
  <c r="C8" i="15"/>
  <c r="I20" i="14"/>
  <c r="H20" i="14"/>
  <c r="G20" i="14"/>
  <c r="F20" i="14"/>
  <c r="E20" i="14"/>
  <c r="I18" i="14"/>
  <c r="J15" i="14" s="1"/>
  <c r="H18" i="14"/>
  <c r="G18" i="14"/>
  <c r="F18" i="14"/>
  <c r="E18" i="14"/>
  <c r="S17" i="14"/>
  <c r="R17" i="14"/>
  <c r="Q17" i="14"/>
  <c r="P17" i="14"/>
  <c r="O17" i="14"/>
  <c r="N17" i="14"/>
  <c r="M17" i="14"/>
  <c r="L17" i="14"/>
  <c r="K17" i="14"/>
  <c r="J17" i="14"/>
  <c r="J14" i="14"/>
  <c r="I12" i="14"/>
  <c r="J7" i="14" s="1"/>
  <c r="H12" i="14"/>
  <c r="I7" i="14" s="1"/>
  <c r="G12" i="14"/>
  <c r="H7" i="14" s="1"/>
  <c r="F12" i="14"/>
  <c r="G7" i="14" s="1"/>
  <c r="E12" i="14"/>
  <c r="F7" i="14" s="1"/>
  <c r="I10" i="14"/>
  <c r="H10" i="14"/>
  <c r="G10" i="14"/>
  <c r="F10" i="14"/>
  <c r="E10" i="14"/>
  <c r="I9" i="14"/>
  <c r="H9" i="14"/>
  <c r="G9" i="14"/>
  <c r="F9" i="14"/>
  <c r="E9" i="14"/>
  <c r="I52" i="13"/>
  <c r="H52" i="13"/>
  <c r="G52" i="13"/>
  <c r="F52" i="13"/>
  <c r="E52" i="13"/>
  <c r="I51" i="13"/>
  <c r="H51" i="13"/>
  <c r="G51" i="13"/>
  <c r="F51" i="13"/>
  <c r="E51" i="13"/>
  <c r="I50" i="13"/>
  <c r="H50" i="13"/>
  <c r="G50" i="13"/>
  <c r="F50" i="13"/>
  <c r="E50" i="13"/>
  <c r="I49" i="13"/>
  <c r="J47" i="13" s="1"/>
  <c r="H49" i="13"/>
  <c r="G49" i="13"/>
  <c r="F49" i="13"/>
  <c r="E49" i="13"/>
  <c r="I43" i="13"/>
  <c r="J41" i="13" s="1"/>
  <c r="H43" i="13"/>
  <c r="I38" i="13"/>
  <c r="J36" i="13" s="1"/>
  <c r="H38" i="13"/>
  <c r="S37" i="13"/>
  <c r="R37" i="13"/>
  <c r="Q37" i="13"/>
  <c r="P37" i="13"/>
  <c r="N37" i="13"/>
  <c r="M37" i="13"/>
  <c r="L37" i="13"/>
  <c r="K37" i="13"/>
  <c r="J37" i="13"/>
  <c r="I33" i="13"/>
  <c r="J31" i="13" s="1"/>
  <c r="H33" i="13"/>
  <c r="S32" i="13"/>
  <c r="R32" i="13"/>
  <c r="Q32" i="13"/>
  <c r="P32" i="13"/>
  <c r="O32" i="13"/>
  <c r="N32" i="13"/>
  <c r="L32" i="13"/>
  <c r="K32" i="13"/>
  <c r="J32" i="13"/>
  <c r="I27" i="13"/>
  <c r="J24" i="13" s="1"/>
  <c r="H27" i="13"/>
  <c r="S25" i="13"/>
  <c r="R25" i="13"/>
  <c r="Q25" i="13"/>
  <c r="P25" i="13"/>
  <c r="O25" i="13"/>
  <c r="N25" i="13"/>
  <c r="L25" i="13"/>
  <c r="K25" i="13"/>
  <c r="J25" i="13"/>
  <c r="I18" i="13"/>
  <c r="H18" i="13"/>
  <c r="S12" i="13"/>
  <c r="R12" i="13"/>
  <c r="Q12" i="13"/>
  <c r="P12" i="13"/>
  <c r="O12" i="13"/>
  <c r="N12" i="13"/>
  <c r="M12" i="13"/>
  <c r="L12" i="13"/>
  <c r="K12" i="13"/>
  <c r="J12" i="13"/>
  <c r="S6" i="13"/>
  <c r="S28" i="13" s="1"/>
  <c r="R6" i="13"/>
  <c r="R28" i="13" s="1"/>
  <c r="Q6" i="13"/>
  <c r="Q28" i="13" s="1"/>
  <c r="P6" i="13"/>
  <c r="P28" i="13" s="1"/>
  <c r="O6" i="13"/>
  <c r="N6" i="13"/>
  <c r="N28" i="13" s="1"/>
  <c r="M6" i="13"/>
  <c r="M19" i="13" s="1"/>
  <c r="L6" i="13"/>
  <c r="L28" i="13" s="1"/>
  <c r="K6" i="13"/>
  <c r="K28" i="13" s="1"/>
  <c r="J6" i="13"/>
  <c r="J28" i="13" s="1"/>
  <c r="I15" i="12"/>
  <c r="J14" i="12" s="1"/>
  <c r="H15" i="12"/>
  <c r="I14" i="12" s="1"/>
  <c r="G15" i="12"/>
  <c r="H14" i="12" s="1"/>
  <c r="F15" i="12"/>
  <c r="G14" i="12" s="1"/>
  <c r="E15" i="12"/>
  <c r="F14" i="12" s="1"/>
  <c r="I12" i="12"/>
  <c r="H12" i="12"/>
  <c r="G12" i="12"/>
  <c r="F12" i="12"/>
  <c r="E12" i="12"/>
  <c r="I11" i="12"/>
  <c r="H11" i="12"/>
  <c r="G11" i="12"/>
  <c r="F11" i="12"/>
  <c r="E11" i="12"/>
  <c r="S9" i="12"/>
  <c r="R9" i="12"/>
  <c r="Q9" i="12"/>
  <c r="P9" i="12"/>
  <c r="O9" i="12"/>
  <c r="N9" i="12"/>
  <c r="M9" i="12"/>
  <c r="L9" i="12"/>
  <c r="K9" i="12"/>
  <c r="J9" i="12"/>
  <c r="S7" i="12"/>
  <c r="R7" i="12"/>
  <c r="Q7" i="12"/>
  <c r="P7" i="12"/>
  <c r="O7" i="12"/>
  <c r="N7" i="12"/>
  <c r="M7" i="12"/>
  <c r="L7" i="12"/>
  <c r="K7" i="12"/>
  <c r="J7" i="12"/>
  <c r="I26" i="11"/>
  <c r="H26" i="11"/>
  <c r="G26" i="11"/>
  <c r="F26" i="11"/>
  <c r="E26" i="11"/>
  <c r="I24" i="11"/>
  <c r="H24" i="11"/>
  <c r="G24" i="11"/>
  <c r="F24" i="11"/>
  <c r="E24" i="11"/>
  <c r="I23" i="11"/>
  <c r="H23" i="11"/>
  <c r="G23" i="11"/>
  <c r="F23" i="11"/>
  <c r="E23" i="11"/>
  <c r="I22" i="11"/>
  <c r="H22" i="11"/>
  <c r="G22" i="11"/>
  <c r="F22" i="11"/>
  <c r="E22" i="11"/>
  <c r="I21" i="11"/>
  <c r="H21" i="11"/>
  <c r="G21" i="11"/>
  <c r="F21" i="11"/>
  <c r="E21" i="11"/>
  <c r="I19" i="11"/>
  <c r="J19" i="11" s="1"/>
  <c r="H19" i="11"/>
  <c r="G19" i="11"/>
  <c r="F19" i="11"/>
  <c r="E19" i="11"/>
  <c r="I17" i="11"/>
  <c r="J17" i="11" s="1"/>
  <c r="K17" i="11" s="1"/>
  <c r="L17" i="11" s="1"/>
  <c r="M17" i="11" s="1"/>
  <c r="N17" i="11" s="1"/>
  <c r="O17" i="11" s="1"/>
  <c r="P17" i="11" s="1"/>
  <c r="Q17" i="11" s="1"/>
  <c r="R17" i="11" s="1"/>
  <c r="S17" i="11" s="1"/>
  <c r="H17" i="11"/>
  <c r="G17" i="11"/>
  <c r="F17" i="11"/>
  <c r="E17" i="11"/>
  <c r="I16" i="11"/>
  <c r="H16" i="11"/>
  <c r="I14" i="11" s="1"/>
  <c r="G16" i="11"/>
  <c r="F16" i="11"/>
  <c r="G14" i="11" s="1"/>
  <c r="E16" i="11"/>
  <c r="F14" i="11" s="1"/>
  <c r="I15" i="11"/>
  <c r="H15" i="11"/>
  <c r="G15" i="11"/>
  <c r="F15" i="11"/>
  <c r="E15" i="11"/>
  <c r="I11" i="11"/>
  <c r="H11" i="11"/>
  <c r="G11" i="11"/>
  <c r="F11" i="11"/>
  <c r="E11" i="11"/>
  <c r="F7" i="11" s="1"/>
  <c r="I9" i="11"/>
  <c r="H9" i="11"/>
  <c r="G9" i="11"/>
  <c r="F9" i="11"/>
  <c r="E9" i="11"/>
  <c r="I8" i="11"/>
  <c r="H8" i="11"/>
  <c r="G8" i="11"/>
  <c r="F8" i="11"/>
  <c r="E8" i="11"/>
  <c r="I18" i="10"/>
  <c r="J18" i="10" s="1"/>
  <c r="K18" i="10" s="1"/>
  <c r="K26" i="8" s="1"/>
  <c r="H18" i="10"/>
  <c r="G18" i="10"/>
  <c r="F18" i="10"/>
  <c r="E18" i="10"/>
  <c r="I17" i="10"/>
  <c r="J17" i="10" s="1"/>
  <c r="J23" i="8" s="1"/>
  <c r="H17" i="10"/>
  <c r="G17" i="10"/>
  <c r="F17" i="10"/>
  <c r="E17" i="10"/>
  <c r="I16" i="10"/>
  <c r="H16" i="10"/>
  <c r="G16" i="10"/>
  <c r="F16" i="10"/>
  <c r="E16" i="10"/>
  <c r="I14" i="10"/>
  <c r="H14" i="10"/>
  <c r="G14" i="10"/>
  <c r="F14" i="10"/>
  <c r="E14" i="10"/>
  <c r="I12" i="10"/>
  <c r="J12" i="10" s="1"/>
  <c r="H12" i="10"/>
  <c r="G12" i="10"/>
  <c r="F12" i="10"/>
  <c r="E12" i="10"/>
  <c r="I11" i="10"/>
  <c r="H11" i="10"/>
  <c r="G11" i="10"/>
  <c r="F11" i="10"/>
  <c r="E11" i="10"/>
  <c r="I9" i="10"/>
  <c r="H9" i="10"/>
  <c r="G9" i="10"/>
  <c r="F9" i="10"/>
  <c r="E9" i="10"/>
  <c r="I7" i="10"/>
  <c r="H7" i="10"/>
  <c r="G7" i="10"/>
  <c r="F7" i="10"/>
  <c r="E7" i="10"/>
  <c r="I43" i="9"/>
  <c r="H43" i="9"/>
  <c r="G43" i="9"/>
  <c r="F43" i="9"/>
  <c r="E43" i="9"/>
  <c r="I32" i="9"/>
  <c r="H32" i="9"/>
  <c r="G32" i="9"/>
  <c r="F32" i="9"/>
  <c r="E32" i="9"/>
  <c r="I30" i="9"/>
  <c r="H30" i="9"/>
  <c r="G30" i="9"/>
  <c r="F30" i="9"/>
  <c r="E30" i="9"/>
  <c r="I29" i="9"/>
  <c r="I19" i="2" s="1"/>
  <c r="H29" i="9"/>
  <c r="H19" i="2" s="1"/>
  <c r="G29" i="9"/>
  <c r="G19" i="2" s="1"/>
  <c r="F29" i="9"/>
  <c r="F19" i="2" s="1"/>
  <c r="E29" i="9"/>
  <c r="E19" i="2" s="1"/>
  <c r="I28" i="9"/>
  <c r="H28" i="9"/>
  <c r="G28" i="9"/>
  <c r="F28" i="9"/>
  <c r="E28" i="9"/>
  <c r="I27" i="9"/>
  <c r="H27" i="9"/>
  <c r="G27" i="9"/>
  <c r="F27" i="9"/>
  <c r="E27" i="9"/>
  <c r="I24" i="9"/>
  <c r="H24" i="9"/>
  <c r="G24" i="9"/>
  <c r="F24" i="9"/>
  <c r="E24" i="9"/>
  <c r="I23" i="9"/>
  <c r="H23" i="9"/>
  <c r="G23" i="9"/>
  <c r="F23" i="9"/>
  <c r="E23" i="9"/>
  <c r="I22" i="9"/>
  <c r="H22" i="9"/>
  <c r="G22" i="9"/>
  <c r="F22" i="9"/>
  <c r="E22" i="9"/>
  <c r="I19" i="9"/>
  <c r="H19" i="9"/>
  <c r="G19" i="9"/>
  <c r="F19" i="9"/>
  <c r="E19" i="9"/>
  <c r="I12" i="9"/>
  <c r="H12" i="9"/>
  <c r="G12" i="9"/>
  <c r="F12" i="9"/>
  <c r="E12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I10" i="9"/>
  <c r="H10" i="9"/>
  <c r="G10" i="9"/>
  <c r="F10" i="9"/>
  <c r="E10" i="9"/>
  <c r="I8" i="9"/>
  <c r="H8" i="9"/>
  <c r="G8" i="9"/>
  <c r="F8" i="9"/>
  <c r="E8" i="9"/>
  <c r="I7" i="9"/>
  <c r="H7" i="9"/>
  <c r="G7" i="9"/>
  <c r="F7" i="9"/>
  <c r="E7" i="9"/>
  <c r="I35" i="8"/>
  <c r="H35" i="8"/>
  <c r="G35" i="8"/>
  <c r="F35" i="8"/>
  <c r="E35" i="8"/>
  <c r="I32" i="8"/>
  <c r="J32" i="8" s="1"/>
  <c r="K32" i="8" s="1"/>
  <c r="L32" i="8" s="1"/>
  <c r="M32" i="8" s="1"/>
  <c r="N32" i="8" s="1"/>
  <c r="O32" i="8" s="1"/>
  <c r="P32" i="8" s="1"/>
  <c r="Q32" i="8" s="1"/>
  <c r="R32" i="8" s="1"/>
  <c r="S32" i="8" s="1"/>
  <c r="H32" i="8"/>
  <c r="G32" i="8"/>
  <c r="F32" i="8"/>
  <c r="E32" i="8"/>
  <c r="I31" i="8"/>
  <c r="J31" i="8" s="1"/>
  <c r="K31" i="8" s="1"/>
  <c r="L31" i="8" s="1"/>
  <c r="M31" i="8" s="1"/>
  <c r="N31" i="8" s="1"/>
  <c r="O31" i="8" s="1"/>
  <c r="P31" i="8" s="1"/>
  <c r="Q31" i="8" s="1"/>
  <c r="R31" i="8" s="1"/>
  <c r="S31" i="8" s="1"/>
  <c r="H31" i="8"/>
  <c r="G31" i="8"/>
  <c r="F31" i="8"/>
  <c r="E31" i="8"/>
  <c r="I30" i="8"/>
  <c r="J30" i="8" s="1"/>
  <c r="K30" i="8" s="1"/>
  <c r="L30" i="8" s="1"/>
  <c r="M30" i="8" s="1"/>
  <c r="N30" i="8" s="1"/>
  <c r="O30" i="8" s="1"/>
  <c r="P30" i="8" s="1"/>
  <c r="Q30" i="8" s="1"/>
  <c r="R30" i="8" s="1"/>
  <c r="S30" i="8" s="1"/>
  <c r="H30" i="8"/>
  <c r="G30" i="8"/>
  <c r="F30" i="8"/>
  <c r="E30" i="8"/>
  <c r="I29" i="8"/>
  <c r="H29" i="8"/>
  <c r="G29" i="8"/>
  <c r="F29" i="8"/>
  <c r="E29" i="8"/>
  <c r="I28" i="8"/>
  <c r="H28" i="8"/>
  <c r="G28" i="8"/>
  <c r="F28" i="8"/>
  <c r="E28" i="8"/>
  <c r="I26" i="8"/>
  <c r="H26" i="8"/>
  <c r="G26" i="8"/>
  <c r="F26" i="8"/>
  <c r="E26" i="8"/>
  <c r="I25" i="8"/>
  <c r="H25" i="8"/>
  <c r="G25" i="8"/>
  <c r="F25" i="8"/>
  <c r="E25" i="8"/>
  <c r="I24" i="8"/>
  <c r="H24" i="8"/>
  <c r="G24" i="8"/>
  <c r="F24" i="8"/>
  <c r="E24" i="8"/>
  <c r="I23" i="8"/>
  <c r="H23" i="8"/>
  <c r="G23" i="8"/>
  <c r="F23" i="8"/>
  <c r="E23" i="8"/>
  <c r="I22" i="8"/>
  <c r="H22" i="8"/>
  <c r="G22" i="8"/>
  <c r="F22" i="8"/>
  <c r="E22" i="8"/>
  <c r="I21" i="8"/>
  <c r="H21" i="8"/>
  <c r="G21" i="8"/>
  <c r="F21" i="8"/>
  <c r="E21" i="8"/>
  <c r="I18" i="8"/>
  <c r="J18" i="8" s="1"/>
  <c r="K18" i="8" s="1"/>
  <c r="L18" i="8" s="1"/>
  <c r="M18" i="8" s="1"/>
  <c r="N18" i="8" s="1"/>
  <c r="O18" i="8" s="1"/>
  <c r="P18" i="8" s="1"/>
  <c r="Q18" i="8" s="1"/>
  <c r="R18" i="8" s="1"/>
  <c r="S18" i="8" s="1"/>
  <c r="H18" i="8"/>
  <c r="G18" i="8"/>
  <c r="F18" i="8"/>
  <c r="E18" i="8"/>
  <c r="I17" i="8"/>
  <c r="H17" i="8"/>
  <c r="G17" i="8"/>
  <c r="F17" i="8"/>
  <c r="E17" i="8"/>
  <c r="I16" i="8"/>
  <c r="H16" i="8"/>
  <c r="G16" i="8"/>
  <c r="F16" i="8"/>
  <c r="E16" i="8"/>
  <c r="I15" i="8"/>
  <c r="H15" i="8"/>
  <c r="G15" i="8"/>
  <c r="F15" i="8"/>
  <c r="E15" i="8"/>
  <c r="I14" i="8"/>
  <c r="H14" i="8"/>
  <c r="G14" i="8"/>
  <c r="F14" i="8"/>
  <c r="E14" i="8"/>
  <c r="I13" i="8"/>
  <c r="H13" i="8"/>
  <c r="G13" i="8"/>
  <c r="F13" i="8"/>
  <c r="E13" i="8"/>
  <c r="I11" i="8"/>
  <c r="H11" i="8"/>
  <c r="G11" i="8"/>
  <c r="F11" i="8"/>
  <c r="E11" i="8"/>
  <c r="I10" i="8"/>
  <c r="H10" i="8"/>
  <c r="G10" i="8"/>
  <c r="F10" i="8"/>
  <c r="E10" i="8"/>
  <c r="I9" i="8"/>
  <c r="H9" i="8"/>
  <c r="G9" i="8"/>
  <c r="F9" i="8"/>
  <c r="E9" i="8"/>
  <c r="I8" i="8"/>
  <c r="H8" i="8"/>
  <c r="G8" i="8"/>
  <c r="F8" i="8"/>
  <c r="E8" i="8"/>
  <c r="I7" i="8"/>
  <c r="H7" i="8"/>
  <c r="G7" i="8"/>
  <c r="F7" i="8"/>
  <c r="E7" i="8"/>
  <c r="I46" i="7"/>
  <c r="H46" i="7"/>
  <c r="G46" i="7"/>
  <c r="F46" i="7"/>
  <c r="E46" i="7"/>
  <c r="I44" i="7"/>
  <c r="H44" i="7"/>
  <c r="G44" i="7"/>
  <c r="F44" i="7"/>
  <c r="C37" i="22" s="1"/>
  <c r="C39" i="22" s="1"/>
  <c r="C40" i="22" s="1"/>
  <c r="E44" i="7"/>
  <c r="E47" i="7" s="1"/>
  <c r="I42" i="7"/>
  <c r="H42" i="7"/>
  <c r="G42" i="7"/>
  <c r="F42" i="7"/>
  <c r="E42" i="7"/>
  <c r="I37" i="7"/>
  <c r="H37" i="7"/>
  <c r="G37" i="7"/>
  <c r="F37" i="7"/>
  <c r="E37" i="7"/>
  <c r="I35" i="7"/>
  <c r="H35" i="7"/>
  <c r="G35" i="7"/>
  <c r="F35" i="7"/>
  <c r="E35" i="7"/>
  <c r="I32" i="7"/>
  <c r="H32" i="7"/>
  <c r="G32" i="7"/>
  <c r="F32" i="7"/>
  <c r="E32" i="7"/>
  <c r="I30" i="7"/>
  <c r="H30" i="7"/>
  <c r="G30" i="7"/>
  <c r="F30" i="7"/>
  <c r="E30" i="7"/>
  <c r="I28" i="7"/>
  <c r="H28" i="7"/>
  <c r="G28" i="7"/>
  <c r="F28" i="7"/>
  <c r="E28" i="7"/>
  <c r="I27" i="7"/>
  <c r="H27" i="7"/>
  <c r="G27" i="7"/>
  <c r="F27" i="7"/>
  <c r="E27" i="7"/>
  <c r="I24" i="7"/>
  <c r="I39" i="7" s="1"/>
  <c r="I16" i="2" s="1"/>
  <c r="H24" i="7"/>
  <c r="H39" i="7" s="1"/>
  <c r="G24" i="7"/>
  <c r="G39" i="7" s="1"/>
  <c r="F24" i="7"/>
  <c r="F39" i="7" s="1"/>
  <c r="F16" i="2" s="1"/>
  <c r="E24" i="7"/>
  <c r="E39" i="7" s="1"/>
  <c r="E16" i="2" s="1"/>
  <c r="I21" i="7"/>
  <c r="H21" i="7"/>
  <c r="G21" i="7"/>
  <c r="F21" i="7"/>
  <c r="E21" i="7"/>
  <c r="I19" i="7"/>
  <c r="H19" i="7"/>
  <c r="G19" i="7"/>
  <c r="F19" i="7"/>
  <c r="E19" i="7"/>
  <c r="I18" i="7"/>
  <c r="H18" i="7"/>
  <c r="G18" i="7"/>
  <c r="F18" i="7"/>
  <c r="E18" i="7"/>
  <c r="I17" i="7"/>
  <c r="H17" i="7"/>
  <c r="G17" i="7"/>
  <c r="F17" i="7"/>
  <c r="E17" i="7"/>
  <c r="I14" i="7"/>
  <c r="H14" i="7"/>
  <c r="G14" i="7"/>
  <c r="F14" i="7"/>
  <c r="E14" i="7"/>
  <c r="I12" i="7"/>
  <c r="H12" i="7"/>
  <c r="G12" i="7"/>
  <c r="F12" i="7"/>
  <c r="E12" i="7"/>
  <c r="I9" i="7"/>
  <c r="H9" i="7"/>
  <c r="G9" i="7"/>
  <c r="F9" i="7"/>
  <c r="E9" i="7"/>
  <c r="I40" i="6"/>
  <c r="H40" i="6"/>
  <c r="G40" i="6"/>
  <c r="F40" i="6"/>
  <c r="I38" i="6"/>
  <c r="J38" i="6" s="1"/>
  <c r="K38" i="6" s="1"/>
  <c r="L38" i="6" s="1"/>
  <c r="M38" i="6" s="1"/>
  <c r="N38" i="6" s="1"/>
  <c r="O38" i="6" s="1"/>
  <c r="P38" i="6" s="1"/>
  <c r="Q38" i="6" s="1"/>
  <c r="R38" i="6" s="1"/>
  <c r="S38" i="6" s="1"/>
  <c r="H38" i="6"/>
  <c r="G38" i="6"/>
  <c r="F38" i="6"/>
  <c r="I36" i="6"/>
  <c r="H36" i="6"/>
  <c r="G36" i="6"/>
  <c r="F36" i="6"/>
  <c r="E36" i="6"/>
  <c r="I34" i="6"/>
  <c r="J34" i="6" s="1"/>
  <c r="K34" i="6" s="1"/>
  <c r="L34" i="6" s="1"/>
  <c r="M34" i="6" s="1"/>
  <c r="N34" i="6" s="1"/>
  <c r="O34" i="6" s="1"/>
  <c r="P34" i="6" s="1"/>
  <c r="Q34" i="6" s="1"/>
  <c r="R34" i="6" s="1"/>
  <c r="S34" i="6" s="1"/>
  <c r="H34" i="6"/>
  <c r="G34" i="6"/>
  <c r="F34" i="6"/>
  <c r="E34" i="6"/>
  <c r="I22" i="6"/>
  <c r="H22" i="6"/>
  <c r="G22" i="6"/>
  <c r="F22" i="6"/>
  <c r="E22" i="6"/>
  <c r="I20" i="6"/>
  <c r="H20" i="6"/>
  <c r="G20" i="6"/>
  <c r="F20" i="6"/>
  <c r="E20" i="6"/>
  <c r="I13" i="6"/>
  <c r="H13" i="6"/>
  <c r="G13" i="6"/>
  <c r="F13" i="6"/>
  <c r="E13" i="6"/>
  <c r="I11" i="6"/>
  <c r="H11" i="6"/>
  <c r="G11" i="6"/>
  <c r="F11" i="6"/>
  <c r="E11" i="6"/>
  <c r="I9" i="6"/>
  <c r="H9" i="6"/>
  <c r="G9" i="6"/>
  <c r="F9" i="6"/>
  <c r="E9" i="6"/>
  <c r="I7" i="6"/>
  <c r="H7" i="6"/>
  <c r="G7" i="6"/>
  <c r="F7" i="6"/>
  <c r="E7" i="6"/>
  <c r="I108" i="5"/>
  <c r="H108" i="5"/>
  <c r="G108" i="5"/>
  <c r="I107" i="5"/>
  <c r="H107" i="5"/>
  <c r="G107" i="5"/>
  <c r="F107" i="5"/>
  <c r="I106" i="5"/>
  <c r="H106" i="5"/>
  <c r="G106" i="5"/>
  <c r="F106" i="5"/>
  <c r="E106" i="5"/>
  <c r="I105" i="5"/>
  <c r="H105" i="5"/>
  <c r="G105" i="5"/>
  <c r="F105" i="5"/>
  <c r="E105" i="5"/>
  <c r="I103" i="5"/>
  <c r="H103" i="5"/>
  <c r="G103" i="5"/>
  <c r="F103" i="5"/>
  <c r="E103" i="5"/>
  <c r="I102" i="5"/>
  <c r="H102" i="5"/>
  <c r="G102" i="5"/>
  <c r="F102" i="5"/>
  <c r="E102" i="5"/>
  <c r="I101" i="5"/>
  <c r="H101" i="5"/>
  <c r="G101" i="5"/>
  <c r="F101" i="5"/>
  <c r="E101" i="5"/>
  <c r="I100" i="5"/>
  <c r="H100" i="5"/>
  <c r="G100" i="5"/>
  <c r="F100" i="5"/>
  <c r="E100" i="5"/>
  <c r="I99" i="5"/>
  <c r="H99" i="5"/>
  <c r="G99" i="5"/>
  <c r="F99" i="5"/>
  <c r="I98" i="5"/>
  <c r="H98" i="5"/>
  <c r="G98" i="5"/>
  <c r="F98" i="5"/>
  <c r="E98" i="5"/>
  <c r="I97" i="5"/>
  <c r="H97" i="5"/>
  <c r="G97" i="5"/>
  <c r="F97" i="5"/>
  <c r="E97" i="5"/>
  <c r="I92" i="5"/>
  <c r="H92" i="5"/>
  <c r="G92" i="5"/>
  <c r="F92" i="5"/>
  <c r="E92" i="5"/>
  <c r="I88" i="5"/>
  <c r="H88" i="5"/>
  <c r="G88" i="5"/>
  <c r="F88" i="5"/>
  <c r="E88" i="5"/>
  <c r="I84" i="5"/>
  <c r="H84" i="5"/>
  <c r="G84" i="5"/>
  <c r="F84" i="5"/>
  <c r="E84" i="5"/>
  <c r="I80" i="5"/>
  <c r="H80" i="5"/>
  <c r="G80" i="5"/>
  <c r="F80" i="5"/>
  <c r="E80" i="5"/>
  <c r="I75" i="5"/>
  <c r="H75" i="5"/>
  <c r="G75" i="5"/>
  <c r="F75" i="5"/>
  <c r="E75" i="5"/>
  <c r="I71" i="5"/>
  <c r="H71" i="5"/>
  <c r="G71" i="5"/>
  <c r="F71" i="5"/>
  <c r="E71" i="5"/>
  <c r="I67" i="5"/>
  <c r="H67" i="5"/>
  <c r="G67" i="5"/>
  <c r="F67" i="5"/>
  <c r="I63" i="5"/>
  <c r="H63" i="5"/>
  <c r="G63" i="5"/>
  <c r="F63" i="5"/>
  <c r="I59" i="5"/>
  <c r="H59" i="5"/>
  <c r="G59" i="5"/>
  <c r="F59" i="5"/>
  <c r="I55" i="5"/>
  <c r="H55" i="5"/>
  <c r="G55" i="5"/>
  <c r="F55" i="5"/>
  <c r="E28" i="5"/>
  <c r="K71" i="5" s="1"/>
  <c r="C15" i="4"/>
  <c r="E7" i="4"/>
  <c r="E6" i="4"/>
  <c r="C68" i="3"/>
  <c r="C12" i="4" s="1"/>
  <c r="C67" i="3"/>
  <c r="D12" i="4" s="1"/>
  <c r="C66" i="3"/>
  <c r="C59" i="3"/>
  <c r="C35" i="3"/>
  <c r="C34" i="3"/>
  <c r="C33" i="3"/>
  <c r="C18" i="3"/>
  <c r="I22" i="2"/>
  <c r="E9" i="2"/>
  <c r="C14" i="1"/>
  <c r="C13" i="1"/>
  <c r="C12" i="1"/>
  <c r="E29" i="6" l="1"/>
  <c r="H10" i="6"/>
  <c r="I40" i="7"/>
  <c r="C16" i="15"/>
  <c r="C17" i="15" s="1"/>
  <c r="H30" i="5"/>
  <c r="I23" i="6"/>
  <c r="E12" i="4"/>
  <c r="G23" i="6"/>
  <c r="I38" i="5"/>
  <c r="E15" i="6"/>
  <c r="F15" i="6"/>
  <c r="I14" i="6"/>
  <c r="R10" i="18"/>
  <c r="G25" i="9"/>
  <c r="I31" i="9"/>
  <c r="H25" i="9"/>
  <c r="F10" i="6"/>
  <c r="H34" i="5"/>
  <c r="I46" i="5"/>
  <c r="F47" i="7"/>
  <c r="F12" i="11"/>
  <c r="H21" i="6"/>
  <c r="E24" i="6"/>
  <c r="E11" i="2" s="1"/>
  <c r="G12" i="11"/>
  <c r="H12" i="11"/>
  <c r="G50" i="5"/>
  <c r="I12" i="11"/>
  <c r="F21" i="14"/>
  <c r="R14" i="18"/>
  <c r="H21" i="14"/>
  <c r="H37" i="6"/>
  <c r="K42" i="13"/>
  <c r="K11" i="13" s="1"/>
  <c r="R6" i="18"/>
  <c r="R27" i="18" s="1"/>
  <c r="H38" i="5"/>
  <c r="I34" i="5"/>
  <c r="I21" i="6"/>
  <c r="J26" i="8"/>
  <c r="G37" i="6"/>
  <c r="F12" i="6"/>
  <c r="H23" i="6"/>
  <c r="G15" i="6"/>
  <c r="H42" i="5"/>
  <c r="R42" i="13"/>
  <c r="R11" i="13" s="1"/>
  <c r="G12" i="6"/>
  <c r="H15" i="6"/>
  <c r="I18" i="11"/>
  <c r="S42" i="13"/>
  <c r="S11" i="13" s="1"/>
  <c r="T22" i="18"/>
  <c r="I15" i="6"/>
  <c r="G40" i="7"/>
  <c r="H46" i="5"/>
  <c r="G21" i="6"/>
  <c r="G34" i="5"/>
  <c r="I50" i="5"/>
  <c r="G24" i="6"/>
  <c r="G11" i="2" s="1"/>
  <c r="H10" i="10"/>
  <c r="E25" i="9"/>
  <c r="C69" i="3"/>
  <c r="C11" i="1" s="1"/>
  <c r="G46" i="5"/>
  <c r="F24" i="6"/>
  <c r="F11" i="2" s="1"/>
  <c r="I37" i="6"/>
  <c r="K17" i="10"/>
  <c r="M46" i="5"/>
  <c r="M21" i="6" s="1"/>
  <c r="F12" i="8"/>
  <c r="F19" i="8" s="1"/>
  <c r="H24" i="6"/>
  <c r="H11" i="2" s="1"/>
  <c r="G30" i="5"/>
  <c r="P88" i="5"/>
  <c r="P15" i="10" s="1"/>
  <c r="G8" i="6"/>
  <c r="F21" i="6"/>
  <c r="I24" i="6"/>
  <c r="I11" i="2" s="1"/>
  <c r="N67" i="5"/>
  <c r="H8" i="6"/>
  <c r="H12" i="6"/>
  <c r="I30" i="5"/>
  <c r="O67" i="5"/>
  <c r="R88" i="5"/>
  <c r="R15" i="10" s="1"/>
  <c r="I12" i="6"/>
  <c r="H29" i="6"/>
  <c r="E12" i="8"/>
  <c r="E19" i="8" s="1"/>
  <c r="Q67" i="5"/>
  <c r="I29" i="6"/>
  <c r="G31" i="9"/>
  <c r="M28" i="13"/>
  <c r="R16" i="18"/>
  <c r="E20" i="9"/>
  <c r="F20" i="9"/>
  <c r="F37" i="9" s="1"/>
  <c r="J42" i="13"/>
  <c r="J11" i="13" s="1"/>
  <c r="Q88" i="5"/>
  <c r="Q15" i="10" s="1"/>
  <c r="H50" i="5"/>
  <c r="I41" i="6"/>
  <c r="G20" i="9"/>
  <c r="G37" i="9" s="1"/>
  <c r="H46" i="13"/>
  <c r="R13" i="18"/>
  <c r="H18" i="11"/>
  <c r="L42" i="13"/>
  <c r="L11" i="13" s="1"/>
  <c r="R9" i="18"/>
  <c r="G38" i="8"/>
  <c r="F25" i="9"/>
  <c r="J14" i="11"/>
  <c r="J15" i="11" s="1"/>
  <c r="G21" i="14"/>
  <c r="I16" i="19"/>
  <c r="J16" i="19" s="1"/>
  <c r="N38" i="5"/>
  <c r="N12" i="6" s="1"/>
  <c r="L84" i="5"/>
  <c r="L10" i="10" s="1"/>
  <c r="G10" i="6"/>
  <c r="F23" i="6"/>
  <c r="G10" i="10"/>
  <c r="F18" i="11"/>
  <c r="H16" i="2"/>
  <c r="O38" i="5"/>
  <c r="O12" i="6" s="1"/>
  <c r="M84" i="5"/>
  <c r="M10" i="10" s="1"/>
  <c r="P42" i="13"/>
  <c r="P11" i="13" s="1"/>
  <c r="I21" i="14"/>
  <c r="P38" i="5"/>
  <c r="P12" i="6" s="1"/>
  <c r="N84" i="5"/>
  <c r="N10" i="10" s="1"/>
  <c r="I10" i="10"/>
  <c r="Q42" i="13"/>
  <c r="Q11" i="13" s="1"/>
  <c r="J34" i="5"/>
  <c r="J10" i="6" s="1"/>
  <c r="Q38" i="5"/>
  <c r="Q12" i="6" s="1"/>
  <c r="N46" i="5"/>
  <c r="N21" i="6" s="1"/>
  <c r="J63" i="5"/>
  <c r="K80" i="5"/>
  <c r="K8" i="10" s="1"/>
  <c r="O84" i="5"/>
  <c r="O10" i="10" s="1"/>
  <c r="S88" i="5"/>
  <c r="S15" i="10" s="1"/>
  <c r="H41" i="6"/>
  <c r="G8" i="12"/>
  <c r="K34" i="5"/>
  <c r="K10" i="6" s="1"/>
  <c r="R38" i="5"/>
  <c r="R12" i="6" s="1"/>
  <c r="O46" i="5"/>
  <c r="O21" i="6" s="1"/>
  <c r="K55" i="5"/>
  <c r="K63" i="5"/>
  <c r="L80" i="5"/>
  <c r="L8" i="10" s="1"/>
  <c r="P84" i="5"/>
  <c r="P10" i="10" s="1"/>
  <c r="H8" i="12"/>
  <c r="P46" i="5"/>
  <c r="P21" i="6" s="1"/>
  <c r="F30" i="5"/>
  <c r="M34" i="5"/>
  <c r="M10" i="6" s="1"/>
  <c r="K42" i="5"/>
  <c r="K14" i="6" s="1"/>
  <c r="Q46" i="5"/>
  <c r="Q21" i="6" s="1"/>
  <c r="R55" i="5"/>
  <c r="M63" i="5"/>
  <c r="K75" i="5"/>
  <c r="N80" i="5"/>
  <c r="N8" i="10" s="1"/>
  <c r="R84" i="5"/>
  <c r="R10" i="10" s="1"/>
  <c r="Q84" i="5"/>
  <c r="Q10" i="10" s="1"/>
  <c r="N34" i="5"/>
  <c r="N10" i="6" s="1"/>
  <c r="L42" i="5"/>
  <c r="L14" i="6" s="1"/>
  <c r="S55" i="5"/>
  <c r="O63" i="5"/>
  <c r="L75" i="5"/>
  <c r="O80" i="5"/>
  <c r="O8" i="10" s="1"/>
  <c r="S84" i="5"/>
  <c r="S10" i="10" s="1"/>
  <c r="F14" i="6"/>
  <c r="F42" i="5"/>
  <c r="D37" i="22"/>
  <c r="D39" i="22" s="1"/>
  <c r="D40" i="22" s="1"/>
  <c r="R46" i="5"/>
  <c r="R21" i="6" s="1"/>
  <c r="O34" i="5"/>
  <c r="O10" i="6" s="1"/>
  <c r="M42" i="5"/>
  <c r="M14" i="6" s="1"/>
  <c r="S46" i="5"/>
  <c r="S21" i="6" s="1"/>
  <c r="J71" i="5"/>
  <c r="M75" i="5"/>
  <c r="P80" i="5"/>
  <c r="P8" i="10" s="1"/>
  <c r="F29" i="6"/>
  <c r="E16" i="6"/>
  <c r="G42" i="5"/>
  <c r="F37" i="6"/>
  <c r="E15" i="10"/>
  <c r="E10" i="10"/>
  <c r="E37" i="22"/>
  <c r="E39" i="22" s="1"/>
  <c r="E40" i="22" s="1"/>
  <c r="F38" i="5"/>
  <c r="F16" i="6"/>
  <c r="C36" i="22"/>
  <c r="F45" i="7"/>
  <c r="F39" i="6"/>
  <c r="F15" i="10"/>
  <c r="F10" i="10"/>
  <c r="F40" i="7"/>
  <c r="F37" i="22"/>
  <c r="F39" i="22" s="1"/>
  <c r="F40" i="22" s="1"/>
  <c r="G41" i="6"/>
  <c r="M92" i="5"/>
  <c r="L88" i="5"/>
  <c r="L15" i="10" s="1"/>
  <c r="K84" i="5"/>
  <c r="K10" i="10" s="1"/>
  <c r="J80" i="5"/>
  <c r="J8" i="10" s="1"/>
  <c r="S59" i="5"/>
  <c r="Q55" i="5"/>
  <c r="O50" i="5"/>
  <c r="O23" i="6" s="1"/>
  <c r="L46" i="5"/>
  <c r="L21" i="6" s="1"/>
  <c r="S30" i="5"/>
  <c r="S8" i="6" s="1"/>
  <c r="L92" i="5"/>
  <c r="K88" i="5"/>
  <c r="K15" i="10" s="1"/>
  <c r="J84" i="5"/>
  <c r="J10" i="10" s="1"/>
  <c r="R59" i="5"/>
  <c r="P55" i="5"/>
  <c r="N50" i="5"/>
  <c r="N23" i="6" s="1"/>
  <c r="K46" i="5"/>
  <c r="K21" i="6" s="1"/>
  <c r="R30" i="5"/>
  <c r="R8" i="6" s="1"/>
  <c r="K92" i="5"/>
  <c r="J88" i="5"/>
  <c r="J15" i="10" s="1"/>
  <c r="S63" i="5"/>
  <c r="Q59" i="5"/>
  <c r="O55" i="5"/>
  <c r="M50" i="5"/>
  <c r="M23" i="6" s="1"/>
  <c r="J46" i="5"/>
  <c r="S34" i="5"/>
  <c r="S10" i="6" s="1"/>
  <c r="Q30" i="5"/>
  <c r="Q8" i="6" s="1"/>
  <c r="J92" i="5"/>
  <c r="R63" i="5"/>
  <c r="P59" i="5"/>
  <c r="N55" i="5"/>
  <c r="L50" i="5"/>
  <c r="L23" i="6" s="1"/>
  <c r="R34" i="5"/>
  <c r="R10" i="6" s="1"/>
  <c r="P30" i="5"/>
  <c r="P8" i="6" s="1"/>
  <c r="S67" i="5"/>
  <c r="Q63" i="5"/>
  <c r="O59" i="5"/>
  <c r="M55" i="5"/>
  <c r="K50" i="5"/>
  <c r="K23" i="6" s="1"/>
  <c r="S38" i="5"/>
  <c r="S12" i="6" s="1"/>
  <c r="Q34" i="5"/>
  <c r="Q10" i="6" s="1"/>
  <c r="O30" i="5"/>
  <c r="O8" i="6" s="1"/>
  <c r="S71" i="5"/>
  <c r="R67" i="5"/>
  <c r="P63" i="5"/>
  <c r="N59" i="5"/>
  <c r="S80" i="5"/>
  <c r="S8" i="10" s="1"/>
  <c r="R75" i="5"/>
  <c r="Q71" i="5"/>
  <c r="P67" i="5"/>
  <c r="N63" i="5"/>
  <c r="L59" i="5"/>
  <c r="J55" i="5"/>
  <c r="J30" i="5"/>
  <c r="J8" i="6" s="1"/>
  <c r="O42" i="5"/>
  <c r="O14" i="6" s="1"/>
  <c r="L71" i="5"/>
  <c r="O75" i="5"/>
  <c r="R80" i="5"/>
  <c r="R8" i="10" s="1"/>
  <c r="O92" i="5"/>
  <c r="G38" i="5"/>
  <c r="G16" i="6"/>
  <c r="I42" i="5"/>
  <c r="D36" i="22"/>
  <c r="G39" i="6"/>
  <c r="H40" i="7"/>
  <c r="H20" i="9"/>
  <c r="K12" i="10"/>
  <c r="J10" i="8"/>
  <c r="L34" i="5"/>
  <c r="L10" i="6" s="1"/>
  <c r="E22" i="2"/>
  <c r="K30" i="5"/>
  <c r="K8" i="6" s="1"/>
  <c r="P42" i="5"/>
  <c r="P14" i="6" s="1"/>
  <c r="J50" i="5"/>
  <c r="J23" i="6" s="1"/>
  <c r="M71" i="5"/>
  <c r="P75" i="5"/>
  <c r="P92" i="5"/>
  <c r="H16" i="6"/>
  <c r="H17" i="6" s="1"/>
  <c r="E36" i="22"/>
  <c r="J42" i="5"/>
  <c r="J14" i="6" s="1"/>
  <c r="L63" i="5"/>
  <c r="M80" i="5"/>
  <c r="M8" i="10" s="1"/>
  <c r="N42" i="5"/>
  <c r="N14" i="6" s="1"/>
  <c r="F22" i="2"/>
  <c r="L30" i="5"/>
  <c r="L8" i="6" s="1"/>
  <c r="J38" i="5"/>
  <c r="J12" i="6" s="1"/>
  <c r="Q42" i="5"/>
  <c r="Q14" i="6" s="1"/>
  <c r="P50" i="5"/>
  <c r="P23" i="6" s="1"/>
  <c r="J59" i="5"/>
  <c r="J67" i="5"/>
  <c r="N71" i="5"/>
  <c r="Q75" i="5"/>
  <c r="Q92" i="5"/>
  <c r="P34" i="5"/>
  <c r="P10" i="6" s="1"/>
  <c r="N92" i="5"/>
  <c r="G22" i="2"/>
  <c r="M30" i="5"/>
  <c r="M8" i="6" s="1"/>
  <c r="K38" i="5"/>
  <c r="K12" i="6" s="1"/>
  <c r="R42" i="5"/>
  <c r="R14" i="6" s="1"/>
  <c r="Q50" i="5"/>
  <c r="Q23" i="6" s="1"/>
  <c r="K59" i="5"/>
  <c r="K67" i="5"/>
  <c r="O71" i="5"/>
  <c r="S75" i="5"/>
  <c r="M88" i="5"/>
  <c r="M15" i="10" s="1"/>
  <c r="R92" i="5"/>
  <c r="L55" i="5"/>
  <c r="C20" i="1"/>
  <c r="N75" i="5"/>
  <c r="H22" i="2"/>
  <c r="C8" i="3"/>
  <c r="N30" i="5"/>
  <c r="N8" i="6" s="1"/>
  <c r="L38" i="5"/>
  <c r="L12" i="6" s="1"/>
  <c r="S42" i="5"/>
  <c r="S14" i="6" s="1"/>
  <c r="R50" i="5"/>
  <c r="R23" i="6" s="1"/>
  <c r="M59" i="5"/>
  <c r="L67" i="5"/>
  <c r="P71" i="5"/>
  <c r="N88" i="5"/>
  <c r="N15" i="10" s="1"/>
  <c r="S92" i="5"/>
  <c r="G14" i="6"/>
  <c r="I16" i="6"/>
  <c r="I17" i="6" s="1"/>
  <c r="J75" i="5"/>
  <c r="Q80" i="5"/>
  <c r="Q8" i="10" s="1"/>
  <c r="G16" i="2"/>
  <c r="F34" i="5"/>
  <c r="M38" i="5"/>
  <c r="M12" i="6" s="1"/>
  <c r="S50" i="5"/>
  <c r="S23" i="6" s="1"/>
  <c r="M67" i="5"/>
  <c r="R71" i="5"/>
  <c r="O88" i="5"/>
  <c r="O15" i="10" s="1"/>
  <c r="H14" i="6"/>
  <c r="I20" i="9"/>
  <c r="F10" i="11"/>
  <c r="G7" i="11"/>
  <c r="G10" i="11" s="1"/>
  <c r="H7" i="11"/>
  <c r="H10" i="11" s="1"/>
  <c r="I15" i="10"/>
  <c r="J7" i="11"/>
  <c r="F8" i="6"/>
  <c r="G29" i="6"/>
  <c r="I10" i="6"/>
  <c r="E27" i="8"/>
  <c r="E33" i="8" s="1"/>
  <c r="E36" i="8" s="1"/>
  <c r="H14" i="11"/>
  <c r="G18" i="11"/>
  <c r="F27" i="8"/>
  <c r="F33" i="8" s="1"/>
  <c r="F36" i="8" s="1"/>
  <c r="G27" i="8"/>
  <c r="G33" i="8" s="1"/>
  <c r="G36" i="8" s="1"/>
  <c r="H20" i="10"/>
  <c r="I8" i="6"/>
  <c r="H27" i="8"/>
  <c r="H33" i="8" s="1"/>
  <c r="H36" i="8" s="1"/>
  <c r="I20" i="10"/>
  <c r="G47" i="7"/>
  <c r="I27" i="8"/>
  <c r="I33" i="8" s="1"/>
  <c r="I36" i="8" s="1"/>
  <c r="I25" i="9"/>
  <c r="H47" i="7"/>
  <c r="I47" i="7"/>
  <c r="E8" i="12"/>
  <c r="I7" i="11"/>
  <c r="I10" i="11" s="1"/>
  <c r="L18" i="10"/>
  <c r="F8" i="12"/>
  <c r="E31" i="9"/>
  <c r="J38" i="13"/>
  <c r="K36" i="13" s="1"/>
  <c r="F31" i="9"/>
  <c r="G12" i="8"/>
  <c r="G19" i="8" s="1"/>
  <c r="E38" i="8"/>
  <c r="O28" i="13"/>
  <c r="O19" i="13"/>
  <c r="I8" i="12"/>
  <c r="H12" i="8"/>
  <c r="H19" i="8" s="1"/>
  <c r="F38" i="8"/>
  <c r="H31" i="9"/>
  <c r="E12" i="11"/>
  <c r="J8" i="13"/>
  <c r="I12" i="8"/>
  <c r="I19" i="8" s="1"/>
  <c r="J34" i="9"/>
  <c r="J16" i="13"/>
  <c r="I46" i="13"/>
  <c r="H38" i="8"/>
  <c r="E20" i="10"/>
  <c r="C41" i="22"/>
  <c r="I38" i="8"/>
  <c r="F20" i="10"/>
  <c r="G15" i="10"/>
  <c r="K19" i="11"/>
  <c r="J15" i="8"/>
  <c r="G20" i="10"/>
  <c r="H15" i="10"/>
  <c r="J16" i="11"/>
  <c r="J48" i="13"/>
  <c r="J9" i="9" s="1"/>
  <c r="C15" i="23"/>
  <c r="E18" i="11"/>
  <c r="N42" i="13"/>
  <c r="E54" i="13"/>
  <c r="T19" i="18"/>
  <c r="T11" i="18"/>
  <c r="R11" i="18"/>
  <c r="F54" i="13"/>
  <c r="C7" i="20"/>
  <c r="G54" i="13"/>
  <c r="J17" i="19"/>
  <c r="D10" i="4" s="1"/>
  <c r="H54" i="13"/>
  <c r="T12" i="18"/>
  <c r="T21" i="18" s="1"/>
  <c r="R12" i="18"/>
  <c r="R21" i="18" s="1"/>
  <c r="I54" i="13"/>
  <c r="J33" i="13"/>
  <c r="K31" i="13" s="1"/>
  <c r="R8" i="18"/>
  <c r="T10" i="18"/>
  <c r="I15" i="19"/>
  <c r="J15" i="19" s="1"/>
  <c r="C10" i="4" s="1"/>
  <c r="J19" i="13"/>
  <c r="K19" i="13"/>
  <c r="C25" i="15"/>
  <c r="C26" i="15" s="1"/>
  <c r="C43" i="22" s="1"/>
  <c r="L19" i="13"/>
  <c r="N19" i="13"/>
  <c r="P19" i="13"/>
  <c r="Q19" i="13"/>
  <c r="R19" i="13"/>
  <c r="S19" i="13"/>
  <c r="R7" i="18"/>
  <c r="R15" i="18"/>
  <c r="R22" i="18" s="1"/>
  <c r="H39" i="8" l="1"/>
  <c r="I45" i="7"/>
  <c r="H25" i="6"/>
  <c r="G25" i="6"/>
  <c r="E17" i="6"/>
  <c r="J49" i="13"/>
  <c r="K47" i="13" s="1"/>
  <c r="R20" i="18"/>
  <c r="E39" i="8"/>
  <c r="G45" i="7"/>
  <c r="G33" i="9"/>
  <c r="I25" i="6"/>
  <c r="E33" i="9"/>
  <c r="G17" i="6"/>
  <c r="H18" i="6" s="1"/>
  <c r="C14" i="22"/>
  <c r="E10" i="4"/>
  <c r="E37" i="9"/>
  <c r="E39" i="9" s="1"/>
  <c r="T23" i="18"/>
  <c r="G39" i="8"/>
  <c r="J9" i="6"/>
  <c r="K9" i="6" s="1"/>
  <c r="P22" i="10"/>
  <c r="M22" i="10"/>
  <c r="L17" i="10"/>
  <c r="K23" i="8"/>
  <c r="T24" i="18"/>
  <c r="I39" i="6"/>
  <c r="L39" i="6" s="1"/>
  <c r="J34" i="13"/>
  <c r="J43" i="13"/>
  <c r="K41" i="13" s="1"/>
  <c r="K43" i="13" s="1"/>
  <c r="L41" i="13" s="1"/>
  <c r="F33" i="9"/>
  <c r="J22" i="6"/>
  <c r="K22" i="6" s="1"/>
  <c r="L22" i="6" s="1"/>
  <c r="M22" i="6" s="1"/>
  <c r="N22" i="6" s="1"/>
  <c r="O22" i="6" s="1"/>
  <c r="P22" i="6" s="1"/>
  <c r="Q22" i="6" s="1"/>
  <c r="R22" i="6" s="1"/>
  <c r="S22" i="6" s="1"/>
  <c r="F36" i="22"/>
  <c r="H39" i="6"/>
  <c r="H45" i="7"/>
  <c r="J39" i="13"/>
  <c r="J11" i="6"/>
  <c r="K11" i="6" s="1"/>
  <c r="I27" i="6"/>
  <c r="I18" i="6"/>
  <c r="I35" i="6"/>
  <c r="I43" i="7"/>
  <c r="I10" i="2"/>
  <c r="H27" i="6"/>
  <c r="H35" i="6"/>
  <c r="H10" i="2"/>
  <c r="H43" i="7"/>
  <c r="E27" i="6"/>
  <c r="E10" i="2"/>
  <c r="E35" i="6"/>
  <c r="L19" i="11"/>
  <c r="K15" i="8"/>
  <c r="C15" i="1"/>
  <c r="I20" i="2"/>
  <c r="C16" i="1"/>
  <c r="I37" i="9"/>
  <c r="I33" i="9"/>
  <c r="L12" i="10"/>
  <c r="K10" i="8"/>
  <c r="J22" i="10"/>
  <c r="F17" i="6"/>
  <c r="F31" i="6" s="1"/>
  <c r="E31" i="6"/>
  <c r="C33" i="23"/>
  <c r="C19" i="23"/>
  <c r="C18" i="23"/>
  <c r="F39" i="9"/>
  <c r="F41" i="9"/>
  <c r="F18" i="2"/>
  <c r="K38" i="13"/>
  <c r="L36" i="13" s="1"/>
  <c r="J7" i="6"/>
  <c r="K22" i="10"/>
  <c r="H20" i="2"/>
  <c r="M18" i="10"/>
  <c r="L26" i="8"/>
  <c r="J13" i="6"/>
  <c r="K13" i="6" s="1"/>
  <c r="L13" i="6" s="1"/>
  <c r="M13" i="6" s="1"/>
  <c r="N13" i="6" s="1"/>
  <c r="O13" i="6" s="1"/>
  <c r="P13" i="6" s="1"/>
  <c r="Q13" i="6" s="1"/>
  <c r="R13" i="6" s="1"/>
  <c r="S13" i="6" s="1"/>
  <c r="F39" i="8"/>
  <c r="L22" i="10"/>
  <c r="G42" i="22"/>
  <c r="B14" i="17"/>
  <c r="F42" i="22"/>
  <c r="B25" i="17"/>
  <c r="E42" i="22"/>
  <c r="B11" i="17"/>
  <c r="D42" i="22"/>
  <c r="B22" i="17"/>
  <c r="C42" i="22"/>
  <c r="B16" i="17"/>
  <c r="S22" i="16"/>
  <c r="B27" i="17"/>
  <c r="R22" i="16"/>
  <c r="B13" i="17"/>
  <c r="Q22" i="16"/>
  <c r="B10" i="17"/>
  <c r="O22" i="16"/>
  <c r="B21" i="17"/>
  <c r="N22" i="16"/>
  <c r="B15" i="17"/>
  <c r="M22" i="16"/>
  <c r="B26" i="17"/>
  <c r="L22" i="16"/>
  <c r="K42" i="22"/>
  <c r="B12" i="17"/>
  <c r="K22" i="16"/>
  <c r="H42" i="22"/>
  <c r="B24" i="17"/>
  <c r="B23" i="17"/>
  <c r="J42" i="22"/>
  <c r="I42" i="22"/>
  <c r="P22" i="16"/>
  <c r="J22" i="16"/>
  <c r="H31" i="6"/>
  <c r="G39" i="9"/>
  <c r="G41" i="9"/>
  <c r="G18" i="2"/>
  <c r="N22" i="10"/>
  <c r="T26" i="18"/>
  <c r="S22" i="10"/>
  <c r="E43" i="22"/>
  <c r="E41" i="22"/>
  <c r="D43" i="22"/>
  <c r="D41" i="22"/>
  <c r="C15" i="22" s="1"/>
  <c r="T25" i="18"/>
  <c r="E20" i="2"/>
  <c r="N11" i="13"/>
  <c r="F43" i="22"/>
  <c r="F41" i="22"/>
  <c r="C16" i="22" s="1"/>
  <c r="I31" i="6"/>
  <c r="R25" i="18"/>
  <c r="F30" i="18" s="1"/>
  <c r="D8" i="4" s="1"/>
  <c r="R19" i="18"/>
  <c r="R26" i="18"/>
  <c r="R24" i="18"/>
  <c r="D30" i="18" s="1"/>
  <c r="C8" i="4" s="1"/>
  <c r="R23" i="18"/>
  <c r="E30" i="18" s="1"/>
  <c r="G20" i="2"/>
  <c r="J18" i="11"/>
  <c r="J16" i="8" s="1"/>
  <c r="K14" i="11"/>
  <c r="G9" i="17"/>
  <c r="F9" i="17"/>
  <c r="E9" i="17"/>
  <c r="D9" i="17"/>
  <c r="C9" i="17"/>
  <c r="J20" i="6"/>
  <c r="J21" i="6"/>
  <c r="H33" i="9"/>
  <c r="H37" i="9"/>
  <c r="J9" i="11"/>
  <c r="T20" i="18"/>
  <c r="K48" i="13"/>
  <c r="K9" i="9" s="1"/>
  <c r="C28" i="20"/>
  <c r="I39" i="8"/>
  <c r="K33" i="13"/>
  <c r="L31" i="13" s="1"/>
  <c r="F20" i="2"/>
  <c r="E43" i="7"/>
  <c r="Q22" i="10"/>
  <c r="R22" i="10"/>
  <c r="O22" i="10"/>
  <c r="G31" i="6" l="1"/>
  <c r="G27" i="6"/>
  <c r="G30" i="6" s="1"/>
  <c r="G43" i="7"/>
  <c r="G10" i="2"/>
  <c r="G35" i="6"/>
  <c r="E18" i="2"/>
  <c r="K39" i="13"/>
  <c r="E41" i="9"/>
  <c r="J44" i="13"/>
  <c r="O39" i="6"/>
  <c r="M39" i="6"/>
  <c r="Q39" i="6"/>
  <c r="N39" i="6"/>
  <c r="R39" i="6"/>
  <c r="S39" i="6"/>
  <c r="J16" i="6"/>
  <c r="P39" i="6"/>
  <c r="J39" i="6"/>
  <c r="L23" i="8"/>
  <c r="M17" i="10"/>
  <c r="K39" i="6"/>
  <c r="E8" i="4"/>
  <c r="F27" i="6"/>
  <c r="G28" i="6" s="1"/>
  <c r="F18" i="6"/>
  <c r="F43" i="7"/>
  <c r="F10" i="2"/>
  <c r="F35" i="6"/>
  <c r="L11" i="6"/>
  <c r="K16" i="6"/>
  <c r="C20" i="23"/>
  <c r="C32" i="23" s="1"/>
  <c r="L10" i="8"/>
  <c r="M12" i="10"/>
  <c r="C35" i="23"/>
  <c r="C39" i="23" s="1"/>
  <c r="M19" i="11"/>
  <c r="L15" i="8"/>
  <c r="K49" i="13"/>
  <c r="L47" i="13" s="1"/>
  <c r="L38" i="13"/>
  <c r="M36" i="13" s="1"/>
  <c r="L39" i="13"/>
  <c r="K15" i="11"/>
  <c r="K16" i="11" s="1"/>
  <c r="G18" i="6"/>
  <c r="I41" i="9"/>
  <c r="I39" i="9"/>
  <c r="I18" i="2"/>
  <c r="E7" i="7"/>
  <c r="E30" i="6"/>
  <c r="E32" i="6"/>
  <c r="L9" i="6"/>
  <c r="K29" i="6"/>
  <c r="G7" i="7"/>
  <c r="G32" i="6"/>
  <c r="H7" i="7"/>
  <c r="H38" i="9" s="1"/>
  <c r="H28" i="6"/>
  <c r="H30" i="6"/>
  <c r="H32" i="6"/>
  <c r="K7" i="6"/>
  <c r="J15" i="6"/>
  <c r="L43" i="13"/>
  <c r="M41" i="13" s="1"/>
  <c r="N18" i="10"/>
  <c r="M26" i="8"/>
  <c r="J8" i="9"/>
  <c r="J32" i="7"/>
  <c r="J13" i="16" s="1"/>
  <c r="J29" i="6"/>
  <c r="L35" i="6"/>
  <c r="K35" i="6"/>
  <c r="Q35" i="6"/>
  <c r="P35" i="6"/>
  <c r="O35" i="6"/>
  <c r="N35" i="6"/>
  <c r="M35" i="6"/>
  <c r="J35" i="6"/>
  <c r="R35" i="6"/>
  <c r="S35" i="6"/>
  <c r="K44" i="13"/>
  <c r="L33" i="13"/>
  <c r="M31" i="13" s="1"/>
  <c r="H41" i="9"/>
  <c r="H39" i="9"/>
  <c r="H18" i="2"/>
  <c r="K34" i="13"/>
  <c r="K20" i="6"/>
  <c r="J24" i="6"/>
  <c r="I7" i="7"/>
  <c r="I28" i="6"/>
  <c r="I30" i="6"/>
  <c r="I32" i="6"/>
  <c r="L44" i="13" l="1"/>
  <c r="J17" i="6"/>
  <c r="J42" i="7" s="1"/>
  <c r="N17" i="10"/>
  <c r="M23" i="8"/>
  <c r="L34" i="13"/>
  <c r="N19" i="11"/>
  <c r="M15" i="8"/>
  <c r="K15" i="6"/>
  <c r="K17" i="6" s="1"/>
  <c r="K31" i="6" s="1"/>
  <c r="L7" i="6"/>
  <c r="E8" i="10"/>
  <c r="E22" i="10" s="1"/>
  <c r="E13" i="7"/>
  <c r="E10" i="7"/>
  <c r="E38" i="7"/>
  <c r="E13" i="2" s="1"/>
  <c r="E8" i="2"/>
  <c r="E36" i="7"/>
  <c r="E14" i="2" s="1"/>
  <c r="E38" i="9"/>
  <c r="E21" i="10"/>
  <c r="M11" i="6"/>
  <c r="L16" i="6"/>
  <c r="N26" i="8"/>
  <c r="O18" i="10"/>
  <c r="C21" i="23"/>
  <c r="C31" i="23" s="1"/>
  <c r="K18" i="11"/>
  <c r="K16" i="8" s="1"/>
  <c r="L14" i="11"/>
  <c r="M38" i="13"/>
  <c r="N36" i="13" s="1"/>
  <c r="M9" i="6"/>
  <c r="L29" i="6"/>
  <c r="M10" i="8"/>
  <c r="N12" i="10"/>
  <c r="I8" i="7"/>
  <c r="I9" i="2" s="1"/>
  <c r="I8" i="2"/>
  <c r="I36" i="7"/>
  <c r="I14" i="2" s="1"/>
  <c r="I38" i="7"/>
  <c r="I13" i="2" s="1"/>
  <c r="I10" i="7"/>
  <c r="I13" i="7"/>
  <c r="I8" i="10"/>
  <c r="I22" i="10" s="1"/>
  <c r="I21" i="10"/>
  <c r="I38" i="9"/>
  <c r="G36" i="22"/>
  <c r="J35" i="16"/>
  <c r="J37" i="16" s="1"/>
  <c r="J28" i="7"/>
  <c r="J40" i="6"/>
  <c r="J41" i="6" s="1"/>
  <c r="J44" i="7"/>
  <c r="J11" i="2"/>
  <c r="J25" i="6"/>
  <c r="J28" i="2" s="1"/>
  <c r="J29" i="2" s="1"/>
  <c r="L20" i="6"/>
  <c r="K24" i="6"/>
  <c r="H13" i="7"/>
  <c r="H8" i="7"/>
  <c r="H9" i="2" s="1"/>
  <c r="H38" i="7"/>
  <c r="H13" i="2" s="1"/>
  <c r="H8" i="2"/>
  <c r="H10" i="7"/>
  <c r="H36" i="7"/>
  <c r="H14" i="2" s="1"/>
  <c r="H8" i="10"/>
  <c r="H22" i="10" s="1"/>
  <c r="H21" i="10"/>
  <c r="G8" i="10"/>
  <c r="G22" i="10" s="1"/>
  <c r="G36" i="7"/>
  <c r="G14" i="2" s="1"/>
  <c r="G13" i="7"/>
  <c r="G10" i="7"/>
  <c r="G8" i="2"/>
  <c r="G38" i="7"/>
  <c r="G13" i="2" s="1"/>
  <c r="G38" i="9"/>
  <c r="G21" i="10"/>
  <c r="L48" i="13"/>
  <c r="L9" i="9" s="1"/>
  <c r="F28" i="6"/>
  <c r="F7" i="7"/>
  <c r="G8" i="7" s="1"/>
  <c r="G9" i="2" s="1"/>
  <c r="F32" i="6"/>
  <c r="F30" i="6"/>
  <c r="M32" i="13"/>
  <c r="M42" i="13" s="1"/>
  <c r="M43" i="13" s="1"/>
  <c r="J10" i="2" l="1"/>
  <c r="J27" i="7"/>
  <c r="J36" i="6"/>
  <c r="J37" i="6" s="1"/>
  <c r="J31" i="6"/>
  <c r="J9" i="7"/>
  <c r="J18" i="6"/>
  <c r="J26" i="2" s="1"/>
  <c r="J27" i="2" s="1"/>
  <c r="J27" i="6"/>
  <c r="J30" i="6" s="1"/>
  <c r="M33" i="13"/>
  <c r="N31" i="13" s="1"/>
  <c r="N33" i="13" s="1"/>
  <c r="O31" i="13" s="1"/>
  <c r="M39" i="13"/>
  <c r="L49" i="13"/>
  <c r="M47" i="13" s="1"/>
  <c r="O17" i="10"/>
  <c r="N23" i="8"/>
  <c r="N41" i="13"/>
  <c r="M44" i="13"/>
  <c r="H15" i="7"/>
  <c r="H11" i="7"/>
  <c r="H12" i="2" s="1"/>
  <c r="N11" i="6"/>
  <c r="M16" i="6"/>
  <c r="K9" i="7"/>
  <c r="K27" i="7"/>
  <c r="K27" i="6"/>
  <c r="K32" i="6" s="1"/>
  <c r="K18" i="6"/>
  <c r="K36" i="6"/>
  <c r="K37" i="6" s="1"/>
  <c r="K10" i="2"/>
  <c r="K42" i="7"/>
  <c r="M48" i="13"/>
  <c r="M9" i="9" s="1"/>
  <c r="I15" i="7"/>
  <c r="I11" i="7"/>
  <c r="I12" i="2" s="1"/>
  <c r="H36" i="22"/>
  <c r="K35" i="16"/>
  <c r="K37" i="16" s="1"/>
  <c r="K28" i="7"/>
  <c r="K40" i="6"/>
  <c r="K41" i="6" s="1"/>
  <c r="K44" i="7"/>
  <c r="K11" i="2"/>
  <c r="K25" i="6"/>
  <c r="L24" i="6"/>
  <c r="M20" i="6"/>
  <c r="G15" i="7"/>
  <c r="G11" i="7"/>
  <c r="G12" i="2" s="1"/>
  <c r="O12" i="10"/>
  <c r="N10" i="8"/>
  <c r="J43" i="7"/>
  <c r="L15" i="11"/>
  <c r="L16" i="11" s="1"/>
  <c r="J14" i="10"/>
  <c r="J9" i="10"/>
  <c r="J36" i="16"/>
  <c r="J38" i="16" s="1"/>
  <c r="J39" i="16" s="1"/>
  <c r="J40" i="16" s="1"/>
  <c r="G37" i="22"/>
  <c r="G39" i="22" s="1"/>
  <c r="G40" i="22" s="1"/>
  <c r="J45" i="7"/>
  <c r="L15" i="6"/>
  <c r="L17" i="6" s="1"/>
  <c r="M7" i="6"/>
  <c r="O26" i="8"/>
  <c r="P18" i="10"/>
  <c r="F8" i="10"/>
  <c r="F22" i="10" s="1"/>
  <c r="F13" i="7"/>
  <c r="F8" i="7"/>
  <c r="F9" i="2" s="1"/>
  <c r="F8" i="2"/>
  <c r="F10" i="7"/>
  <c r="F38" i="7"/>
  <c r="F13" i="2" s="1"/>
  <c r="F36" i="7"/>
  <c r="F14" i="2" s="1"/>
  <c r="F38" i="9"/>
  <c r="F21" i="10"/>
  <c r="E11" i="7"/>
  <c r="E12" i="2" s="1"/>
  <c r="E15" i="7"/>
  <c r="N9" i="6"/>
  <c r="M29" i="6"/>
  <c r="N38" i="13"/>
  <c r="O36" i="13" s="1"/>
  <c r="N15" i="8"/>
  <c r="O19" i="11"/>
  <c r="M34" i="13" l="1"/>
  <c r="J32" i="6"/>
  <c r="J28" i="6"/>
  <c r="J7" i="7"/>
  <c r="C51" i="3" s="1"/>
  <c r="N34" i="13"/>
  <c r="N39" i="13"/>
  <c r="C52" i="3"/>
  <c r="C19" i="22" s="1"/>
  <c r="C21" i="22" s="1"/>
  <c r="C22" i="22" s="1"/>
  <c r="C23" i="22" s="1"/>
  <c r="P17" i="10"/>
  <c r="O23" i="8"/>
  <c r="M49" i="13"/>
  <c r="N47" i="13" s="1"/>
  <c r="H37" i="22"/>
  <c r="H39" i="22" s="1"/>
  <c r="H40" i="22" s="1"/>
  <c r="K36" i="16"/>
  <c r="K38" i="16" s="1"/>
  <c r="K39" i="16" s="1"/>
  <c r="K40" i="16" s="1"/>
  <c r="K45" i="7"/>
  <c r="I36" i="22"/>
  <c r="L35" i="16"/>
  <c r="L37" i="16" s="1"/>
  <c r="L28" i="7"/>
  <c r="L40" i="6"/>
  <c r="L41" i="6" s="1"/>
  <c r="L44" i="7"/>
  <c r="L11" i="2"/>
  <c r="L25" i="6"/>
  <c r="I33" i="7"/>
  <c r="I16" i="7"/>
  <c r="I20" i="7"/>
  <c r="M24" i="6"/>
  <c r="N20" i="6"/>
  <c r="J21" i="8"/>
  <c r="J16" i="9"/>
  <c r="L18" i="11"/>
  <c r="L16" i="8" s="1"/>
  <c r="M14" i="11"/>
  <c r="M15" i="6"/>
  <c r="M17" i="6" s="1"/>
  <c r="M31" i="6" s="1"/>
  <c r="N7" i="6"/>
  <c r="E33" i="7"/>
  <c r="E20" i="7"/>
  <c r="E16" i="7"/>
  <c r="F15" i="7"/>
  <c r="F11" i="7"/>
  <c r="F12" i="2" s="1"/>
  <c r="O37" i="13"/>
  <c r="K14" i="10"/>
  <c r="K9" i="10"/>
  <c r="K14" i="9" s="1"/>
  <c r="H33" i="7"/>
  <c r="H20" i="7"/>
  <c r="H16" i="7"/>
  <c r="L9" i="7"/>
  <c r="L36" i="6"/>
  <c r="L37" i="6" s="1"/>
  <c r="L27" i="7"/>
  <c r="L42" i="7"/>
  <c r="L18" i="6"/>
  <c r="L10" i="2"/>
  <c r="L27" i="6"/>
  <c r="G33" i="7"/>
  <c r="G16" i="7"/>
  <c r="G20" i="7"/>
  <c r="G43" i="22"/>
  <c r="G41" i="22"/>
  <c r="P19" i="11"/>
  <c r="O15" i="8"/>
  <c r="J9" i="8"/>
  <c r="J14" i="9"/>
  <c r="N29" i="6"/>
  <c r="O9" i="6"/>
  <c r="L31" i="6"/>
  <c r="O11" i="6"/>
  <c r="N16" i="6"/>
  <c r="P26" i="8"/>
  <c r="Q18" i="10"/>
  <c r="K43" i="7"/>
  <c r="K28" i="6"/>
  <c r="K7" i="7"/>
  <c r="K30" i="6"/>
  <c r="J7" i="16"/>
  <c r="J9" i="14"/>
  <c r="J10" i="9" s="1"/>
  <c r="J21" i="11"/>
  <c r="J7" i="10"/>
  <c r="J11" i="10"/>
  <c r="J8" i="7"/>
  <c r="J8" i="11"/>
  <c r="J29" i="7"/>
  <c r="J30" i="7"/>
  <c r="J10" i="7"/>
  <c r="J8" i="2"/>
  <c r="O33" i="13"/>
  <c r="P31" i="13" s="1"/>
  <c r="P12" i="10"/>
  <c r="O10" i="8"/>
  <c r="N43" i="13"/>
  <c r="O41" i="13" s="1"/>
  <c r="J16" i="10" l="1"/>
  <c r="J17" i="9" s="1"/>
  <c r="F41" i="2"/>
  <c r="N44" i="13"/>
  <c r="P23" i="8"/>
  <c r="Q17" i="10"/>
  <c r="J46" i="7"/>
  <c r="J12" i="7"/>
  <c r="J13" i="7" s="1"/>
  <c r="J36" i="22"/>
  <c r="M35" i="16"/>
  <c r="M37" i="16" s="1"/>
  <c r="M40" i="6"/>
  <c r="M41" i="6" s="1"/>
  <c r="M28" i="7"/>
  <c r="M11" i="2"/>
  <c r="M44" i="7"/>
  <c r="M25" i="6"/>
  <c r="L28" i="6"/>
  <c r="L7" i="7"/>
  <c r="L30" i="6"/>
  <c r="L9" i="10"/>
  <c r="L14" i="9" s="1"/>
  <c r="L14" i="10"/>
  <c r="R18" i="10"/>
  <c r="Q26" i="8"/>
  <c r="O42" i="13"/>
  <c r="O43" i="13" s="1"/>
  <c r="P41" i="13" s="1"/>
  <c r="O29" i="6"/>
  <c r="P9" i="6"/>
  <c r="H58" i="13"/>
  <c r="H34" i="7"/>
  <c r="H15" i="2"/>
  <c r="H57" i="13"/>
  <c r="H56" i="13"/>
  <c r="H55" i="13"/>
  <c r="H21" i="2" s="1"/>
  <c r="M15" i="11"/>
  <c r="M16" i="11" s="1"/>
  <c r="G58" i="13"/>
  <c r="G34" i="7"/>
  <c r="G15" i="2"/>
  <c r="G56" i="13"/>
  <c r="G57" i="13"/>
  <c r="G55" i="13"/>
  <c r="G21" i="2" s="1"/>
  <c r="J9" i="2"/>
  <c r="J24" i="2"/>
  <c r="J25" i="2" s="1"/>
  <c r="J15" i="9"/>
  <c r="J11" i="8"/>
  <c r="I58" i="13"/>
  <c r="I34" i="7"/>
  <c r="I15" i="2"/>
  <c r="I56" i="13"/>
  <c r="I57" i="13"/>
  <c r="I55" i="13"/>
  <c r="I21" i="2" s="1"/>
  <c r="P11" i="6"/>
  <c r="O16" i="6"/>
  <c r="L43" i="7"/>
  <c r="O34" i="13"/>
  <c r="Q19" i="11"/>
  <c r="P15" i="8"/>
  <c r="J8" i="8"/>
  <c r="J13" i="9"/>
  <c r="J22" i="11"/>
  <c r="J14" i="8" s="1"/>
  <c r="J23" i="11"/>
  <c r="J24" i="8" s="1"/>
  <c r="J26" i="11"/>
  <c r="F16" i="7"/>
  <c r="F20" i="7"/>
  <c r="F33" i="7"/>
  <c r="I37" i="22"/>
  <c r="I39" i="22" s="1"/>
  <c r="I40" i="22" s="1"/>
  <c r="L36" i="16"/>
  <c r="L38" i="16" s="1"/>
  <c r="L39" i="16" s="1"/>
  <c r="L40" i="16" s="1"/>
  <c r="L45" i="7"/>
  <c r="P33" i="13"/>
  <c r="Q31" i="13" s="1"/>
  <c r="H6" i="12"/>
  <c r="H23" i="7"/>
  <c r="H7" i="12"/>
  <c r="H22" i="7"/>
  <c r="K7" i="16"/>
  <c r="K9" i="14"/>
  <c r="K10" i="9" s="1"/>
  <c r="K7" i="10"/>
  <c r="K11" i="10"/>
  <c r="K15" i="9" s="1"/>
  <c r="K8" i="7"/>
  <c r="K9" i="2" s="1"/>
  <c r="K21" i="11"/>
  <c r="K8" i="11"/>
  <c r="K29" i="7"/>
  <c r="K30" i="7"/>
  <c r="K10" i="7"/>
  <c r="K8" i="2"/>
  <c r="K16" i="10"/>
  <c r="I6" i="12"/>
  <c r="I22" i="7"/>
  <c r="I23" i="7"/>
  <c r="I7" i="12"/>
  <c r="O38" i="13"/>
  <c r="E6" i="12"/>
  <c r="E22" i="7"/>
  <c r="E23" i="7"/>
  <c r="E7" i="12"/>
  <c r="Q12" i="10"/>
  <c r="P10" i="8"/>
  <c r="N15" i="6"/>
  <c r="N17" i="6" s="1"/>
  <c r="N31" i="6" s="1"/>
  <c r="O7" i="6"/>
  <c r="M36" i="6"/>
  <c r="M37" i="6" s="1"/>
  <c r="M27" i="7"/>
  <c r="M9" i="7"/>
  <c r="M18" i="6"/>
  <c r="M10" i="2"/>
  <c r="M27" i="6"/>
  <c r="M42" i="7"/>
  <c r="K9" i="8"/>
  <c r="H43" i="22"/>
  <c r="H41" i="22"/>
  <c r="J14" i="16"/>
  <c r="J12" i="11"/>
  <c r="J22" i="9"/>
  <c r="J25" i="9" s="1"/>
  <c r="J11" i="11"/>
  <c r="L32" i="6"/>
  <c r="E58" i="13"/>
  <c r="E56" i="13"/>
  <c r="E34" i="7"/>
  <c r="E15" i="2"/>
  <c r="E57" i="13"/>
  <c r="E55" i="13"/>
  <c r="E21" i="2" s="1"/>
  <c r="J11" i="7"/>
  <c r="J12" i="2" s="1"/>
  <c r="G6" i="12"/>
  <c r="G23" i="7"/>
  <c r="G22" i="7"/>
  <c r="G7" i="12"/>
  <c r="K16" i="9"/>
  <c r="K21" i="8"/>
  <c r="N24" i="6"/>
  <c r="O20" i="6"/>
  <c r="N48" i="13"/>
  <c r="N9" i="9" s="1"/>
  <c r="J20" i="10" l="1"/>
  <c r="J23" i="10" s="1"/>
  <c r="J15" i="16" s="1"/>
  <c r="J22" i="8"/>
  <c r="J15" i="7"/>
  <c r="J35" i="7" s="1"/>
  <c r="J25" i="11"/>
  <c r="J16" i="16" s="1"/>
  <c r="O11" i="13"/>
  <c r="J24" i="11"/>
  <c r="J29" i="8" s="1"/>
  <c r="J27" i="8"/>
  <c r="Q23" i="8"/>
  <c r="R17" i="10"/>
  <c r="Q11" i="6"/>
  <c r="P16" i="6"/>
  <c r="M43" i="7"/>
  <c r="H8" i="14"/>
  <c r="H11" i="14" s="1"/>
  <c r="H25" i="7"/>
  <c r="H17" i="2" s="1"/>
  <c r="H40" i="9"/>
  <c r="K20" i="10"/>
  <c r="K23" i="10" s="1"/>
  <c r="K8" i="8"/>
  <c r="M28" i="6"/>
  <c r="M7" i="7"/>
  <c r="M30" i="6"/>
  <c r="J37" i="22"/>
  <c r="J39" i="22" s="1"/>
  <c r="J40" i="22" s="1"/>
  <c r="M36" i="16"/>
  <c r="M38" i="16" s="1"/>
  <c r="M39" i="16" s="1"/>
  <c r="M40" i="16" s="1"/>
  <c r="M45" i="7"/>
  <c r="M9" i="10"/>
  <c r="M14" i="10"/>
  <c r="K13" i="9"/>
  <c r="G8" i="14"/>
  <c r="G11" i="14" s="1"/>
  <c r="G25" i="7"/>
  <c r="G17" i="2" s="1"/>
  <c r="G40" i="9"/>
  <c r="P36" i="13"/>
  <c r="O39" i="13"/>
  <c r="K36" i="22"/>
  <c r="N35" i="16"/>
  <c r="N37" i="16" s="1"/>
  <c r="N28" i="7"/>
  <c r="N40" i="6"/>
  <c r="N41" i="6" s="1"/>
  <c r="N44" i="7"/>
  <c r="N11" i="2"/>
  <c r="N25" i="6"/>
  <c r="O24" i="6"/>
  <c r="P20" i="6"/>
  <c r="L21" i="11"/>
  <c r="L9" i="14"/>
  <c r="L10" i="9" s="1"/>
  <c r="L7" i="10"/>
  <c r="L13" i="9" s="1"/>
  <c r="L7" i="16"/>
  <c r="L8" i="11"/>
  <c r="L10" i="7"/>
  <c r="L29" i="7"/>
  <c r="L8" i="7"/>
  <c r="L9" i="2" s="1"/>
  <c r="L11" i="10"/>
  <c r="L15" i="9" s="1"/>
  <c r="L30" i="7"/>
  <c r="L8" i="2"/>
  <c r="L16" i="10"/>
  <c r="I8" i="14"/>
  <c r="I11" i="14" s="1"/>
  <c r="I25" i="7"/>
  <c r="I17" i="2" s="1"/>
  <c r="I40" i="9"/>
  <c r="J13" i="8"/>
  <c r="K7" i="11"/>
  <c r="R19" i="11"/>
  <c r="Q15" i="8"/>
  <c r="P43" i="13"/>
  <c r="Q41" i="13" s="1"/>
  <c r="P44" i="13"/>
  <c r="L16" i="9"/>
  <c r="L21" i="8"/>
  <c r="K22" i="8"/>
  <c r="K17" i="9"/>
  <c r="K11" i="7"/>
  <c r="K12" i="2" s="1"/>
  <c r="N27" i="7"/>
  <c r="N42" i="7"/>
  <c r="N9" i="7"/>
  <c r="N36" i="6"/>
  <c r="N37" i="6" s="1"/>
  <c r="N10" i="2"/>
  <c r="N18" i="6"/>
  <c r="N27" i="6"/>
  <c r="O44" i="13"/>
  <c r="M14" i="9"/>
  <c r="L9" i="8"/>
  <c r="K46" i="7"/>
  <c r="K47" i="7" s="1"/>
  <c r="K12" i="7"/>
  <c r="K13" i="7" s="1"/>
  <c r="K22" i="11"/>
  <c r="K14" i="8" s="1"/>
  <c r="K23" i="11"/>
  <c r="K24" i="8" s="1"/>
  <c r="N49" i="13"/>
  <c r="O47" i="13" s="1"/>
  <c r="N14" i="11"/>
  <c r="M18" i="11"/>
  <c r="M16" i="8" s="1"/>
  <c r="M32" i="6"/>
  <c r="P29" i="6"/>
  <c r="Q9" i="6"/>
  <c r="R12" i="10"/>
  <c r="Q10" i="8"/>
  <c r="F58" i="13"/>
  <c r="F56" i="13"/>
  <c r="F34" i="7"/>
  <c r="F15" i="2"/>
  <c r="F57" i="13"/>
  <c r="F55" i="13"/>
  <c r="F21" i="2" s="1"/>
  <c r="E8" i="14"/>
  <c r="E25" i="7"/>
  <c r="E17" i="2" s="1"/>
  <c r="E40" i="9"/>
  <c r="J21" i="10"/>
  <c r="Q33" i="13"/>
  <c r="R31" i="13" s="1"/>
  <c r="P34" i="13"/>
  <c r="O15" i="6"/>
  <c r="O17" i="6" s="1"/>
  <c r="O31" i="6" s="1"/>
  <c r="P7" i="6"/>
  <c r="I43" i="22"/>
  <c r="I41" i="22"/>
  <c r="K14" i="16"/>
  <c r="K8" i="21"/>
  <c r="K22" i="9"/>
  <c r="K25" i="9" s="1"/>
  <c r="F6" i="12"/>
  <c r="F22" i="7"/>
  <c r="F23" i="7"/>
  <c r="F7" i="12"/>
  <c r="K11" i="8"/>
  <c r="K26" i="11"/>
  <c r="S18" i="10"/>
  <c r="S26" i="8" s="1"/>
  <c r="R26" i="8"/>
  <c r="C53" i="3"/>
  <c r="J47" i="7"/>
  <c r="J16" i="7" l="1"/>
  <c r="J8" i="16"/>
  <c r="J33" i="7"/>
  <c r="J34" i="7" s="1"/>
  <c r="J18" i="9"/>
  <c r="K27" i="8"/>
  <c r="K24" i="11"/>
  <c r="K29" i="8" s="1"/>
  <c r="R23" i="8"/>
  <c r="S17" i="10"/>
  <c r="S23" i="8" s="1"/>
  <c r="K25" i="11"/>
  <c r="K10" i="21" s="1"/>
  <c r="Q29" i="6"/>
  <c r="R9" i="6"/>
  <c r="K9" i="21"/>
  <c r="K15" i="16"/>
  <c r="K21" i="10"/>
  <c r="M7" i="16"/>
  <c r="M9" i="14"/>
  <c r="M10" i="9" s="1"/>
  <c r="M21" i="11"/>
  <c r="M7" i="10"/>
  <c r="M8" i="11"/>
  <c r="M10" i="7"/>
  <c r="M16" i="10"/>
  <c r="M29" i="7"/>
  <c r="M8" i="7"/>
  <c r="M9" i="2" s="1"/>
  <c r="M11" i="10"/>
  <c r="M30" i="7"/>
  <c r="M8" i="2"/>
  <c r="M15" i="9"/>
  <c r="L11" i="8"/>
  <c r="L46" i="7"/>
  <c r="L47" i="7" s="1"/>
  <c r="L12" i="7"/>
  <c r="L13" i="7" s="1"/>
  <c r="C11" i="20"/>
  <c r="J24" i="16"/>
  <c r="F8" i="14"/>
  <c r="F11" i="14" s="1"/>
  <c r="F25" i="7"/>
  <c r="F17" i="2" s="1"/>
  <c r="F40" i="9"/>
  <c r="L11" i="7"/>
  <c r="L12" i="2" s="1"/>
  <c r="P38" i="13"/>
  <c r="Q36" i="13" s="1"/>
  <c r="P39" i="13"/>
  <c r="L23" i="11"/>
  <c r="L24" i="8" s="1"/>
  <c r="L22" i="11"/>
  <c r="L14" i="8" s="1"/>
  <c r="J11" i="16"/>
  <c r="J12" i="16" s="1"/>
  <c r="J17" i="16" s="1"/>
  <c r="J20" i="16" s="1"/>
  <c r="J9" i="16"/>
  <c r="S19" i="11"/>
  <c r="S15" i="8" s="1"/>
  <c r="R15" i="8"/>
  <c r="N9" i="10"/>
  <c r="N14" i="9" s="1"/>
  <c r="N14" i="10"/>
  <c r="P24" i="6"/>
  <c r="Q20" i="6"/>
  <c r="M16" i="9"/>
  <c r="M21" i="8"/>
  <c r="O48" i="13"/>
  <c r="O9" i="9" s="1"/>
  <c r="O35" i="16"/>
  <c r="O37" i="16" s="1"/>
  <c r="O28" i="7"/>
  <c r="O40" i="6"/>
  <c r="O41" i="6" s="1"/>
  <c r="O44" i="7"/>
  <c r="O11" i="2"/>
  <c r="O25" i="6"/>
  <c r="M9" i="8"/>
  <c r="N15" i="11"/>
  <c r="N16" i="11" s="1"/>
  <c r="L14" i="16"/>
  <c r="L8" i="21"/>
  <c r="L22" i="9"/>
  <c r="L25" i="9" s="1"/>
  <c r="P15" i="6"/>
  <c r="P17" i="6" s="1"/>
  <c r="P31" i="6" s="1"/>
  <c r="Q7" i="6"/>
  <c r="N43" i="7"/>
  <c r="O27" i="7"/>
  <c r="O9" i="7"/>
  <c r="O36" i="6"/>
  <c r="O37" i="6" s="1"/>
  <c r="O42" i="7"/>
  <c r="O10" i="2"/>
  <c r="O27" i="6"/>
  <c r="O32" i="6" s="1"/>
  <c r="O18" i="6"/>
  <c r="K37" i="22"/>
  <c r="K39" i="22" s="1"/>
  <c r="K40" i="22" s="1"/>
  <c r="N36" i="16"/>
  <c r="N38" i="16" s="1"/>
  <c r="N39" i="16" s="1"/>
  <c r="N40" i="16" s="1"/>
  <c r="N45" i="7"/>
  <c r="Q43" i="13"/>
  <c r="R41" i="13" s="1"/>
  <c r="Q44" i="13"/>
  <c r="N28" i="6"/>
  <c r="N7" i="7"/>
  <c r="N30" i="6"/>
  <c r="L20" i="10"/>
  <c r="L23" i="10" s="1"/>
  <c r="L8" i="8"/>
  <c r="K9" i="11"/>
  <c r="C57" i="3"/>
  <c r="C58" i="3" s="1"/>
  <c r="C60" i="3"/>
  <c r="C61" i="3" s="1"/>
  <c r="Q16" i="6"/>
  <c r="R11" i="6"/>
  <c r="R33" i="13"/>
  <c r="S31" i="13" s="1"/>
  <c r="R34" i="13"/>
  <c r="S12" i="10"/>
  <c r="S10" i="8" s="1"/>
  <c r="R10" i="8"/>
  <c r="J36" i="7"/>
  <c r="J14" i="2" s="1"/>
  <c r="J37" i="7"/>
  <c r="N32" i="6"/>
  <c r="L26" i="11"/>
  <c r="Q34" i="13"/>
  <c r="K15" i="7"/>
  <c r="L17" i="9"/>
  <c r="L22" i="8"/>
  <c r="J43" i="22"/>
  <c r="J41" i="22"/>
  <c r="C17" i="1" l="1"/>
  <c r="J15" i="2"/>
  <c r="K18" i="9"/>
  <c r="K16" i="16"/>
  <c r="L27" i="8"/>
  <c r="L24" i="11"/>
  <c r="L29" i="8" s="1"/>
  <c r="M22" i="11"/>
  <c r="M14" i="8" s="1"/>
  <c r="M23" i="11"/>
  <c r="M24" i="8" s="1"/>
  <c r="M20" i="10"/>
  <c r="M8" i="8"/>
  <c r="S33" i="13"/>
  <c r="S34" i="13" s="1"/>
  <c r="M22" i="8"/>
  <c r="M17" i="9"/>
  <c r="R43" i="13"/>
  <c r="S41" i="13" s="1"/>
  <c r="R44" i="13"/>
  <c r="L9" i="21"/>
  <c r="L15" i="16"/>
  <c r="O9" i="10"/>
  <c r="O14" i="9" s="1"/>
  <c r="O14" i="10"/>
  <c r="J38" i="7"/>
  <c r="Q15" i="6"/>
  <c r="Q17" i="6" s="1"/>
  <c r="Q31" i="6" s="1"/>
  <c r="R7" i="6"/>
  <c r="C23" i="20"/>
  <c r="C24" i="20"/>
  <c r="J21" i="21" s="1"/>
  <c r="K20" i="21" s="1"/>
  <c r="K21" i="21" s="1"/>
  <c r="L20" i="21" s="1"/>
  <c r="L21" i="21" s="1"/>
  <c r="M20" i="21" s="1"/>
  <c r="M21" i="21" s="1"/>
  <c r="N20" i="21" s="1"/>
  <c r="N21" i="21" s="1"/>
  <c r="O20" i="21" s="1"/>
  <c r="O21" i="21" s="1"/>
  <c r="K8" i="9"/>
  <c r="K32" i="7"/>
  <c r="K13" i="16" s="1"/>
  <c r="K12" i="11"/>
  <c r="Q38" i="13"/>
  <c r="R36" i="13" s="1"/>
  <c r="R16" i="6"/>
  <c r="S11" i="6"/>
  <c r="S16" i="6" s="1"/>
  <c r="K43" i="22"/>
  <c r="K41" i="22"/>
  <c r="C17" i="22" s="1"/>
  <c r="K11" i="11"/>
  <c r="Q24" i="6"/>
  <c r="R20" i="6"/>
  <c r="R29" i="6"/>
  <c r="S9" i="6"/>
  <c r="S29" i="6" s="1"/>
  <c r="N7" i="16"/>
  <c r="N9" i="14"/>
  <c r="N10" i="9" s="1"/>
  <c r="N21" i="11"/>
  <c r="N11" i="10"/>
  <c r="N15" i="9" s="1"/>
  <c r="N16" i="10"/>
  <c r="N8" i="11"/>
  <c r="N29" i="7"/>
  <c r="N8" i="7"/>
  <c r="N9" i="2" s="1"/>
  <c r="N30" i="7"/>
  <c r="N7" i="10"/>
  <c r="N13" i="9" s="1"/>
  <c r="N10" i="7"/>
  <c r="H41" i="2"/>
  <c r="G41" i="2"/>
  <c r="C80" i="3"/>
  <c r="N8" i="2"/>
  <c r="M14" i="16"/>
  <c r="M8" i="21"/>
  <c r="M22" i="9"/>
  <c r="M25" i="9" s="1"/>
  <c r="O49" i="13"/>
  <c r="P47" i="13" s="1"/>
  <c r="P35" i="16"/>
  <c r="P37" i="16" s="1"/>
  <c r="P28" i="7"/>
  <c r="P44" i="7"/>
  <c r="P40" i="6"/>
  <c r="P41" i="6" s="1"/>
  <c r="P25" i="6"/>
  <c r="P11" i="2"/>
  <c r="L15" i="7"/>
  <c r="M46" i="7"/>
  <c r="M47" i="7" s="1"/>
  <c r="M12" i="7"/>
  <c r="M13" i="7" s="1"/>
  <c r="J23" i="16"/>
  <c r="L25" i="11"/>
  <c r="K8" i="16"/>
  <c r="K35" i="7"/>
  <c r="K16" i="7"/>
  <c r="M11" i="8"/>
  <c r="J18" i="16"/>
  <c r="O36" i="16"/>
  <c r="O38" i="16" s="1"/>
  <c r="O39" i="16" s="1"/>
  <c r="O40" i="16" s="1"/>
  <c r="O45" i="7"/>
  <c r="M11" i="7"/>
  <c r="M12" i="2" s="1"/>
  <c r="P27" i="7"/>
  <c r="P42" i="7"/>
  <c r="P9" i="7"/>
  <c r="P36" i="6"/>
  <c r="P37" i="6" s="1"/>
  <c r="P27" i="6"/>
  <c r="P10" i="2"/>
  <c r="P18" i="6"/>
  <c r="N18" i="11"/>
  <c r="N16" i="8" s="1"/>
  <c r="O14" i="11"/>
  <c r="O28" i="6"/>
  <c r="O7" i="7"/>
  <c r="O30" i="6"/>
  <c r="M13" i="9"/>
  <c r="O43" i="7"/>
  <c r="N16" i="9"/>
  <c r="N21" i="8"/>
  <c r="M26" i="11"/>
  <c r="L21" i="10"/>
  <c r="M23" i="10"/>
  <c r="N9" i="8"/>
  <c r="M27" i="8" l="1"/>
  <c r="M25" i="11"/>
  <c r="K33" i="7"/>
  <c r="R38" i="13"/>
  <c r="S36" i="13" s="1"/>
  <c r="S43" i="13"/>
  <c r="S44" i="13"/>
  <c r="P36" i="16"/>
  <c r="P38" i="16" s="1"/>
  <c r="P39" i="16" s="1"/>
  <c r="P40" i="16" s="1"/>
  <c r="P45" i="7"/>
  <c r="Q39" i="13"/>
  <c r="P48" i="13"/>
  <c r="P9" i="9" s="1"/>
  <c r="N11" i="8"/>
  <c r="O15" i="9"/>
  <c r="N22" i="11"/>
  <c r="N14" i="8" s="1"/>
  <c r="N23" i="11"/>
  <c r="N24" i="8" s="1"/>
  <c r="N27" i="8" s="1"/>
  <c r="N46" i="7"/>
  <c r="N47" i="7" s="1"/>
  <c r="N12" i="7"/>
  <c r="N13" i="7" s="1"/>
  <c r="O7" i="16"/>
  <c r="O9" i="14"/>
  <c r="O10" i="9" s="1"/>
  <c r="O7" i="10"/>
  <c r="O11" i="10"/>
  <c r="O16" i="10"/>
  <c r="O21" i="11"/>
  <c r="O30" i="7"/>
  <c r="O8" i="11"/>
  <c r="O10" i="7"/>
  <c r="O29" i="7"/>
  <c r="O8" i="2"/>
  <c r="O8" i="7"/>
  <c r="O9" i="2" s="1"/>
  <c r="P28" i="6"/>
  <c r="P7" i="7"/>
  <c r="P30" i="6"/>
  <c r="J18" i="21"/>
  <c r="N8" i="21"/>
  <c r="N14" i="16"/>
  <c r="N22" i="9"/>
  <c r="N25" i="9" s="1"/>
  <c r="K36" i="7"/>
  <c r="K14" i="2" s="1"/>
  <c r="K37" i="7"/>
  <c r="R15" i="6"/>
  <c r="R17" i="6" s="1"/>
  <c r="S7" i="6"/>
  <c r="S15" i="6" s="1"/>
  <c r="S17" i="6" s="1"/>
  <c r="S31" i="6" s="1"/>
  <c r="M21" i="10"/>
  <c r="N17" i="9"/>
  <c r="N22" i="8"/>
  <c r="Q27" i="7"/>
  <c r="Q42" i="7"/>
  <c r="Q9" i="7"/>
  <c r="Q36" i="6"/>
  <c r="Q37" i="6" s="1"/>
  <c r="Q10" i="2"/>
  <c r="Q27" i="6"/>
  <c r="Q18" i="6"/>
  <c r="O15" i="11"/>
  <c r="O16" i="11" s="1"/>
  <c r="P32" i="6"/>
  <c r="Q35" i="16"/>
  <c r="Q37" i="16" s="1"/>
  <c r="Q28" i="7"/>
  <c r="Q40" i="6"/>
  <c r="Q41" i="6" s="1"/>
  <c r="Q44" i="7"/>
  <c r="Q25" i="6"/>
  <c r="Q11" i="2"/>
  <c r="M16" i="16"/>
  <c r="M10" i="21"/>
  <c r="M18" i="9"/>
  <c r="K7" i="21"/>
  <c r="K24" i="16"/>
  <c r="K34" i="7"/>
  <c r="K15" i="2"/>
  <c r="P14" i="10"/>
  <c r="P9" i="10"/>
  <c r="R24" i="6"/>
  <c r="S20" i="6"/>
  <c r="S24" i="6" s="1"/>
  <c r="L10" i="21"/>
  <c r="L16" i="16"/>
  <c r="L18" i="9"/>
  <c r="L7" i="11"/>
  <c r="K13" i="8"/>
  <c r="J30" i="2"/>
  <c r="J31" i="2" s="1"/>
  <c r="J13" i="2"/>
  <c r="M24" i="11"/>
  <c r="M29" i="8" s="1"/>
  <c r="K11" i="16"/>
  <c r="K12" i="16" s="1"/>
  <c r="K17" i="16" s="1"/>
  <c r="K20" i="16" s="1"/>
  <c r="K23" i="16" s="1"/>
  <c r="K9" i="16"/>
  <c r="N26" i="11"/>
  <c r="M15" i="7"/>
  <c r="N11" i="7"/>
  <c r="N12" i="2" s="1"/>
  <c r="O21" i="8"/>
  <c r="O16" i="9"/>
  <c r="M9" i="21"/>
  <c r="M15" i="16"/>
  <c r="L8" i="16"/>
  <c r="L35" i="7"/>
  <c r="L16" i="7"/>
  <c r="P43" i="7"/>
  <c r="N20" i="10"/>
  <c r="O13" i="9"/>
  <c r="N8" i="8"/>
  <c r="O9" i="8"/>
  <c r="P49" i="13" l="1"/>
  <c r="Q47" i="13" s="1"/>
  <c r="R39" i="13"/>
  <c r="O26" i="11"/>
  <c r="R35" i="16"/>
  <c r="R37" i="16" s="1"/>
  <c r="R28" i="7"/>
  <c r="R25" i="6"/>
  <c r="R44" i="7"/>
  <c r="R40" i="6"/>
  <c r="R41" i="6" s="1"/>
  <c r="R32" i="6"/>
  <c r="R11" i="2"/>
  <c r="O23" i="10"/>
  <c r="N21" i="10"/>
  <c r="N23" i="10"/>
  <c r="O11" i="7"/>
  <c r="O12" i="2" s="1"/>
  <c r="R42" i="7"/>
  <c r="R36" i="6"/>
  <c r="R37" i="6" s="1"/>
  <c r="R9" i="7"/>
  <c r="R27" i="6"/>
  <c r="R10" i="2"/>
  <c r="R18" i="6"/>
  <c r="R27" i="7"/>
  <c r="O17" i="9"/>
  <c r="O22" i="8"/>
  <c r="O8" i="21"/>
  <c r="O14" i="16"/>
  <c r="O22" i="9"/>
  <c r="O25" i="9" s="1"/>
  <c r="Q48" i="13"/>
  <c r="Q9" i="9" s="1"/>
  <c r="O22" i="11"/>
  <c r="O14" i="8" s="1"/>
  <c r="O23" i="11"/>
  <c r="O24" i="8" s="1"/>
  <c r="O27" i="8" s="1"/>
  <c r="R31" i="6"/>
  <c r="P21" i="8"/>
  <c r="P16" i="9"/>
  <c r="O18" i="11"/>
  <c r="O16" i="8" s="1"/>
  <c r="P14" i="11"/>
  <c r="S38" i="13"/>
  <c r="S39" i="13" s="1"/>
  <c r="L9" i="16"/>
  <c r="L11" i="16"/>
  <c r="L12" i="16" s="1"/>
  <c r="O11" i="8"/>
  <c r="Q28" i="6"/>
  <c r="Q7" i="7"/>
  <c r="Q30" i="6"/>
  <c r="Q9" i="10"/>
  <c r="Q14" i="9" s="1"/>
  <c r="Q14" i="10"/>
  <c r="M8" i="16"/>
  <c r="M35" i="7"/>
  <c r="M16" i="7"/>
  <c r="Q36" i="16"/>
  <c r="Q38" i="16" s="1"/>
  <c r="Q39" i="16" s="1"/>
  <c r="Q40" i="16" s="1"/>
  <c r="Q45" i="7"/>
  <c r="S42" i="7"/>
  <c r="S27" i="6"/>
  <c r="S36" i="6"/>
  <c r="S9" i="7"/>
  <c r="S18" i="6"/>
  <c r="S27" i="7"/>
  <c r="S10" i="2"/>
  <c r="K18" i="16"/>
  <c r="P9" i="8"/>
  <c r="L9" i="11"/>
  <c r="L11" i="11" s="1"/>
  <c r="P14" i="9"/>
  <c r="N24" i="11"/>
  <c r="N29" i="8" s="1"/>
  <c r="O46" i="7"/>
  <c r="O47" i="7" s="1"/>
  <c r="O12" i="7"/>
  <c r="O13" i="7" s="1"/>
  <c r="K38" i="7"/>
  <c r="K13" i="2" s="1"/>
  <c r="L36" i="7"/>
  <c r="L14" i="2" s="1"/>
  <c r="L37" i="7"/>
  <c r="O8" i="8"/>
  <c r="O20" i="10"/>
  <c r="Q43" i="7"/>
  <c r="J24" i="21"/>
  <c r="K15" i="21"/>
  <c r="N15" i="7"/>
  <c r="Q32" i="6"/>
  <c r="P7" i="16"/>
  <c r="P9" i="14"/>
  <c r="P10" i="9" s="1"/>
  <c r="P7" i="10"/>
  <c r="P13" i="9" s="1"/>
  <c r="P11" i="10"/>
  <c r="P8" i="11"/>
  <c r="P21" i="11"/>
  <c r="P26" i="11" s="1"/>
  <c r="P16" i="10"/>
  <c r="P30" i="7"/>
  <c r="P10" i="7"/>
  <c r="P29" i="7"/>
  <c r="P8" i="2"/>
  <c r="P8" i="7"/>
  <c r="P9" i="2" s="1"/>
  <c r="S35" i="16"/>
  <c r="S37" i="16" s="1"/>
  <c r="S25" i="6"/>
  <c r="S44" i="7"/>
  <c r="S28" i="7"/>
  <c r="S32" i="6"/>
  <c r="S40" i="6"/>
  <c r="S11" i="2"/>
  <c r="N25" i="11"/>
  <c r="O24" i="11" l="1"/>
  <c r="O29" i="8" s="1"/>
  <c r="O15" i="7"/>
  <c r="O8" i="16" s="1"/>
  <c r="S37" i="6"/>
  <c r="Q49" i="13"/>
  <c r="R47" i="13" s="1"/>
  <c r="N9" i="21"/>
  <c r="N15" i="16"/>
  <c r="S36" i="16"/>
  <c r="S38" i="16" s="1"/>
  <c r="S39" i="16" s="1"/>
  <c r="S45" i="7"/>
  <c r="K11" i="21"/>
  <c r="K16" i="21"/>
  <c r="P15" i="11"/>
  <c r="P16" i="11" s="1"/>
  <c r="R36" i="16"/>
  <c r="R38" i="16" s="1"/>
  <c r="R39" i="16" s="1"/>
  <c r="R40" i="16" s="1"/>
  <c r="R45" i="7"/>
  <c r="Q9" i="8"/>
  <c r="M9" i="16"/>
  <c r="M11" i="16"/>
  <c r="M12" i="16" s="1"/>
  <c r="Q21" i="8"/>
  <c r="Q16" i="9"/>
  <c r="M7" i="11"/>
  <c r="L13" i="8"/>
  <c r="R7" i="7"/>
  <c r="R28" i="6"/>
  <c r="R30" i="6"/>
  <c r="O9" i="21"/>
  <c r="O15" i="16"/>
  <c r="M36" i="7"/>
  <c r="M14" i="2" s="1"/>
  <c r="M37" i="7"/>
  <c r="P46" i="7"/>
  <c r="P47" i="7" s="1"/>
  <c r="P12" i="7"/>
  <c r="P13" i="7" s="1"/>
  <c r="P14" i="16"/>
  <c r="P22" i="9"/>
  <c r="P25" i="9" s="1"/>
  <c r="O25" i="11"/>
  <c r="R9" i="10"/>
  <c r="R14" i="10"/>
  <c r="N8" i="16"/>
  <c r="N16" i="7"/>
  <c r="N35" i="7"/>
  <c r="P11" i="7"/>
  <c r="P12" i="2" s="1"/>
  <c r="P22" i="8"/>
  <c r="P17" i="9"/>
  <c r="Q7" i="16"/>
  <c r="Q9" i="14"/>
  <c r="Q10" i="9" s="1"/>
  <c r="Q7" i="10"/>
  <c r="Q11" i="10"/>
  <c r="Q8" i="11"/>
  <c r="Q21" i="11"/>
  <c r="Q26" i="11" s="1"/>
  <c r="Q16" i="10"/>
  <c r="Q10" i="7"/>
  <c r="Q29" i="7"/>
  <c r="Q8" i="7"/>
  <c r="Q9" i="2" s="1"/>
  <c r="Q8" i="2"/>
  <c r="Q30" i="7"/>
  <c r="N16" i="16"/>
  <c r="N10" i="21"/>
  <c r="N18" i="9"/>
  <c r="S43" i="7"/>
  <c r="L8" i="9"/>
  <c r="L32" i="7"/>
  <c r="L12" i="11"/>
  <c r="O21" i="10"/>
  <c r="P23" i="11"/>
  <c r="P24" i="8" s="1"/>
  <c r="P22" i="11"/>
  <c r="P14" i="8" s="1"/>
  <c r="P11" i="8"/>
  <c r="L38" i="7"/>
  <c r="L13" i="2" s="1"/>
  <c r="S9" i="10"/>
  <c r="S9" i="8" s="1"/>
  <c r="S14" i="10"/>
  <c r="P8" i="8"/>
  <c r="P20" i="10"/>
  <c r="S41" i="6"/>
  <c r="S7" i="7"/>
  <c r="S28" i="6"/>
  <c r="S30" i="6"/>
  <c r="P15" i="9"/>
  <c r="R43" i="7"/>
  <c r="O16" i="7" l="1"/>
  <c r="O35" i="7"/>
  <c r="P15" i="7"/>
  <c r="P27" i="8"/>
  <c r="P24" i="11"/>
  <c r="P29" i="8" s="1"/>
  <c r="Q14" i="11"/>
  <c r="P18" i="11"/>
  <c r="P16" i="8" s="1"/>
  <c r="R7" i="16"/>
  <c r="R9" i="14"/>
  <c r="R10" i="9" s="1"/>
  <c r="R8" i="11"/>
  <c r="R16" i="10"/>
  <c r="R21" i="11"/>
  <c r="R26" i="11" s="1"/>
  <c r="S26" i="11" s="1"/>
  <c r="R29" i="7"/>
  <c r="R11" i="10"/>
  <c r="R7" i="10"/>
  <c r="R10" i="7"/>
  <c r="R8" i="7"/>
  <c r="R9" i="2" s="1"/>
  <c r="R8" i="2"/>
  <c r="R30" i="7"/>
  <c r="K12" i="21"/>
  <c r="K13" i="21" s="1"/>
  <c r="K17" i="21" s="1"/>
  <c r="K18" i="21" s="1"/>
  <c r="K25" i="21"/>
  <c r="S40" i="16"/>
  <c r="C29" i="22" s="1"/>
  <c r="C31" i="22" s="1"/>
  <c r="C32" i="22" s="1"/>
  <c r="R21" i="8"/>
  <c r="R16" i="9"/>
  <c r="M9" i="11"/>
  <c r="M11" i="11" s="1"/>
  <c r="P8" i="16"/>
  <c r="P35" i="7"/>
  <c r="P16" i="7"/>
  <c r="Q46" i="7"/>
  <c r="Q47" i="7" s="1"/>
  <c r="Q12" i="7"/>
  <c r="Q13" i="7" s="1"/>
  <c r="Q11" i="8"/>
  <c r="Q20" i="10"/>
  <c r="Q8" i="8"/>
  <c r="S14" i="9"/>
  <c r="R9" i="8"/>
  <c r="Q13" i="9"/>
  <c r="S16" i="9"/>
  <c r="S21" i="8"/>
  <c r="O37" i="7"/>
  <c r="O36" i="7"/>
  <c r="O14" i="2" s="1"/>
  <c r="R14" i="9"/>
  <c r="P21" i="10"/>
  <c r="O16" i="16"/>
  <c r="O10" i="21"/>
  <c r="O18" i="9"/>
  <c r="Q15" i="9"/>
  <c r="Q22" i="8"/>
  <c r="Q17" i="9"/>
  <c r="L13" i="16"/>
  <c r="L33" i="7"/>
  <c r="O9" i="16"/>
  <c r="O11" i="16"/>
  <c r="O12" i="16" s="1"/>
  <c r="P25" i="11"/>
  <c r="Q11" i="7"/>
  <c r="Q12" i="2" s="1"/>
  <c r="R48" i="13"/>
  <c r="R9" i="9" s="1"/>
  <c r="R49" i="13"/>
  <c r="S47" i="13" s="1"/>
  <c r="M38" i="7"/>
  <c r="M13" i="2" s="1"/>
  <c r="N36" i="7"/>
  <c r="N14" i="2" s="1"/>
  <c r="N37" i="7"/>
  <c r="Q23" i="11"/>
  <c r="Q24" i="8" s="1"/>
  <c r="Q22" i="11"/>
  <c r="Q14" i="8" s="1"/>
  <c r="S7" i="16"/>
  <c r="S9" i="14"/>
  <c r="S10" i="9" s="1"/>
  <c r="S11" i="10"/>
  <c r="S11" i="8" s="1"/>
  <c r="S8" i="11"/>
  <c r="S16" i="10"/>
  <c r="S21" i="11"/>
  <c r="S30" i="7"/>
  <c r="S7" i="10"/>
  <c r="S10" i="7"/>
  <c r="S29" i="7"/>
  <c r="S8" i="7"/>
  <c r="S9" i="2" s="1"/>
  <c r="S8" i="2"/>
  <c r="P23" i="10"/>
  <c r="P15" i="16" s="1"/>
  <c r="Q14" i="16"/>
  <c r="Q22" i="9"/>
  <c r="Q25" i="9" s="1"/>
  <c r="N9" i="16"/>
  <c r="N11" i="16"/>
  <c r="N12" i="16" s="1"/>
  <c r="Q27" i="8" l="1"/>
  <c r="Q15" i="7"/>
  <c r="K24" i="21"/>
  <c r="L15" i="21"/>
  <c r="K26" i="21"/>
  <c r="R20" i="10"/>
  <c r="S13" i="9"/>
  <c r="R8" i="8"/>
  <c r="L18" i="16"/>
  <c r="L17" i="16"/>
  <c r="L20" i="16" s="1"/>
  <c r="L23" i="16" s="1"/>
  <c r="P11" i="16"/>
  <c r="P12" i="16" s="1"/>
  <c r="P9" i="16"/>
  <c r="Q25" i="11"/>
  <c r="M8" i="9"/>
  <c r="M32" i="7"/>
  <c r="M12" i="11"/>
  <c r="O38" i="7"/>
  <c r="O13" i="2" s="1"/>
  <c r="S15" i="9"/>
  <c r="R11" i="8"/>
  <c r="L7" i="21"/>
  <c r="L24" i="16"/>
  <c r="L34" i="7"/>
  <c r="L15" i="2"/>
  <c r="N7" i="11"/>
  <c r="M13" i="8"/>
  <c r="N38" i="7"/>
  <c r="R14" i="16"/>
  <c r="R22" i="9"/>
  <c r="R25" i="9" s="1"/>
  <c r="R11" i="7"/>
  <c r="R12" i="2" s="1"/>
  <c r="R46" i="7"/>
  <c r="R47" i="7" s="1"/>
  <c r="R12" i="7"/>
  <c r="R13" i="7" s="1"/>
  <c r="S46" i="7"/>
  <c r="S47" i="7" s="1"/>
  <c r="S12" i="7"/>
  <c r="S13" i="7" s="1"/>
  <c r="S11" i="7"/>
  <c r="S12" i="2" s="1"/>
  <c r="R13" i="9"/>
  <c r="S8" i="8"/>
  <c r="S20" i="10"/>
  <c r="S21" i="10" s="1"/>
  <c r="K23" i="21"/>
  <c r="Q24" i="11"/>
  <c r="Q29" i="8" s="1"/>
  <c r="R22" i="8"/>
  <c r="R17" i="9"/>
  <c r="Q21" i="10"/>
  <c r="Q15" i="11"/>
  <c r="Q16" i="11" s="1"/>
  <c r="S48" i="13"/>
  <c r="S9" i="9" s="1"/>
  <c r="S23" i="11"/>
  <c r="S24" i="8" s="1"/>
  <c r="S22" i="11"/>
  <c r="S14" i="8" s="1"/>
  <c r="Q23" i="10"/>
  <c r="Q15" i="16" s="1"/>
  <c r="S14" i="16"/>
  <c r="S22" i="9"/>
  <c r="S25" i="9" s="1"/>
  <c r="P37" i="7"/>
  <c r="P36" i="7"/>
  <c r="P14" i="2" s="1"/>
  <c r="R23" i="11"/>
  <c r="R24" i="8" s="1"/>
  <c r="R22" i="11"/>
  <c r="R14" i="8" s="1"/>
  <c r="Q8" i="16"/>
  <c r="Q35" i="7"/>
  <c r="Q16" i="7"/>
  <c r="R15" i="9"/>
  <c r="S17" i="9"/>
  <c r="S22" i="8"/>
  <c r="P16" i="16"/>
  <c r="P18" i="9"/>
  <c r="R27" i="8" l="1"/>
  <c r="R24" i="11"/>
  <c r="R29" i="8" s="1"/>
  <c r="S27" i="8"/>
  <c r="S24" i="11"/>
  <c r="S29" i="8" s="1"/>
  <c r="S15" i="7"/>
  <c r="S8" i="16" s="1"/>
  <c r="M13" i="16"/>
  <c r="M33" i="7"/>
  <c r="Q37" i="7"/>
  <c r="Q36" i="7"/>
  <c r="Q14" i="2" s="1"/>
  <c r="N9" i="11"/>
  <c r="N11" i="11" s="1"/>
  <c r="Q16" i="16"/>
  <c r="Q18" i="9"/>
  <c r="S25" i="11"/>
  <c r="Q11" i="16"/>
  <c r="Q12" i="16" s="1"/>
  <c r="Q9" i="16"/>
  <c r="S49" i="13"/>
  <c r="R14" i="11"/>
  <c r="Q18" i="11"/>
  <c r="Q16" i="8" s="1"/>
  <c r="N13" i="2"/>
  <c r="I41" i="2"/>
  <c r="R25" i="11"/>
  <c r="L11" i="21"/>
  <c r="L12" i="21" s="1"/>
  <c r="L13" i="21" s="1"/>
  <c r="L16" i="21"/>
  <c r="S23" i="10"/>
  <c r="S15" i="16" s="1"/>
  <c r="R21" i="10"/>
  <c r="R23" i="10"/>
  <c r="R15" i="16" s="1"/>
  <c r="R15" i="7"/>
  <c r="P38" i="7"/>
  <c r="P13" i="2" s="1"/>
  <c r="S16" i="7" l="1"/>
  <c r="L25" i="21"/>
  <c r="S35" i="7"/>
  <c r="L17" i="21"/>
  <c r="L23" i="21" s="1"/>
  <c r="O7" i="11"/>
  <c r="N13" i="8"/>
  <c r="S37" i="7"/>
  <c r="S36" i="7"/>
  <c r="S14" i="2" s="1"/>
  <c r="M24" i="16"/>
  <c r="M7" i="21"/>
  <c r="M34" i="7"/>
  <c r="M15" i="2"/>
  <c r="N8" i="9"/>
  <c r="N32" i="7"/>
  <c r="N12" i="11"/>
  <c r="R18" i="9"/>
  <c r="R16" i="16"/>
  <c r="R8" i="16"/>
  <c r="R35" i="7"/>
  <c r="R16" i="7"/>
  <c r="M18" i="16"/>
  <c r="M17" i="16"/>
  <c r="M20" i="16" s="1"/>
  <c r="M23" i="16" s="1"/>
  <c r="Q38" i="7"/>
  <c r="Q13" i="2" s="1"/>
  <c r="S11" i="16"/>
  <c r="S12" i="16" s="1"/>
  <c r="S9" i="16"/>
  <c r="R15" i="11"/>
  <c r="R16" i="11" s="1"/>
  <c r="S16" i="16"/>
  <c r="S18" i="9"/>
  <c r="L18" i="21" l="1"/>
  <c r="O9" i="11"/>
  <c r="S38" i="7"/>
  <c r="S13" i="2" s="1"/>
  <c r="R37" i="7"/>
  <c r="R36" i="7"/>
  <c r="R14" i="2" s="1"/>
  <c r="R11" i="16"/>
  <c r="R12" i="16" s="1"/>
  <c r="R9" i="16"/>
  <c r="S14" i="11"/>
  <c r="R18" i="11"/>
  <c r="R16" i="8" s="1"/>
  <c r="N13" i="16"/>
  <c r="N33" i="7"/>
  <c r="M15" i="21" l="1"/>
  <c r="L24" i="21"/>
  <c r="L26" i="21"/>
  <c r="N24" i="16"/>
  <c r="N7" i="21"/>
  <c r="N34" i="7"/>
  <c r="N15" i="2"/>
  <c r="R38" i="7"/>
  <c r="R13" i="2" s="1"/>
  <c r="N18" i="16"/>
  <c r="N17" i="16"/>
  <c r="N20" i="16" s="1"/>
  <c r="N23" i="16" s="1"/>
  <c r="O8" i="9"/>
  <c r="O32" i="7"/>
  <c r="O12" i="11"/>
  <c r="O11" i="11"/>
  <c r="S15" i="11"/>
  <c r="S16" i="11" s="1"/>
  <c r="S18" i="11" s="1"/>
  <c r="S16" i="8" s="1"/>
  <c r="M11" i="21" l="1"/>
  <c r="M16" i="21"/>
  <c r="O13" i="16"/>
  <c r="O33" i="7"/>
  <c r="P7" i="11"/>
  <c r="O13" i="8"/>
  <c r="M12" i="21" l="1"/>
  <c r="M13" i="21" s="1"/>
  <c r="M25" i="21"/>
  <c r="P9" i="11"/>
  <c r="O24" i="16"/>
  <c r="C35" i="20"/>
  <c r="O7" i="21"/>
  <c r="O34" i="7"/>
  <c r="O15" i="2"/>
  <c r="O18" i="16"/>
  <c r="O17" i="16"/>
  <c r="O20" i="16" s="1"/>
  <c r="O23" i="16" s="1"/>
  <c r="M17" i="21" l="1"/>
  <c r="M18" i="21" s="1"/>
  <c r="P8" i="9"/>
  <c r="P32" i="7"/>
  <c r="P12" i="11"/>
  <c r="P11" i="11"/>
  <c r="M23" i="21" l="1"/>
  <c r="M24" i="21"/>
  <c r="N15" i="21"/>
  <c r="M26" i="21"/>
  <c r="P13" i="16"/>
  <c r="P33" i="7"/>
  <c r="Q7" i="11"/>
  <c r="P13" i="8"/>
  <c r="N16" i="21" l="1"/>
  <c r="N11" i="21"/>
  <c r="Q9" i="11"/>
  <c r="Q11" i="11" s="1"/>
  <c r="P24" i="16"/>
  <c r="P34" i="7"/>
  <c r="P15" i="2"/>
  <c r="P17" i="16"/>
  <c r="P20" i="16" s="1"/>
  <c r="P23" i="16" s="1"/>
  <c r="P18" i="16"/>
  <c r="N12" i="21" l="1"/>
  <c r="N13" i="21" s="1"/>
  <c r="N17" i="21" s="1"/>
  <c r="N18" i="21" s="1"/>
  <c r="O15" i="21" s="1"/>
  <c r="N25" i="21"/>
  <c r="R7" i="11"/>
  <c r="Q13" i="8"/>
  <c r="Q8" i="9"/>
  <c r="Q32" i="7"/>
  <c r="Q12" i="11"/>
  <c r="N26" i="21" l="1"/>
  <c r="N23" i="21"/>
  <c r="N24" i="21"/>
  <c r="O11" i="21"/>
  <c r="O16" i="21"/>
  <c r="Q13" i="16"/>
  <c r="Q33" i="7"/>
  <c r="R9" i="11"/>
  <c r="R11" i="11" s="1"/>
  <c r="S7" i="11" l="1"/>
  <c r="R13" i="8"/>
  <c r="R32" i="7"/>
  <c r="R8" i="9"/>
  <c r="R12" i="11"/>
  <c r="Q24" i="16"/>
  <c r="Q34" i="7"/>
  <c r="Q15" i="2"/>
  <c r="Q17" i="16"/>
  <c r="Q20" i="16" s="1"/>
  <c r="Q23" i="16" s="1"/>
  <c r="Q18" i="16"/>
  <c r="O12" i="21"/>
  <c r="O13" i="21" s="1"/>
  <c r="O25" i="21"/>
  <c r="O17" i="21" l="1"/>
  <c r="O18" i="21" s="1"/>
  <c r="R13" i="16"/>
  <c r="R33" i="7"/>
  <c r="S9" i="11"/>
  <c r="S11" i="11" s="1"/>
  <c r="S13" i="8" s="1"/>
  <c r="R18" i="16" l="1"/>
  <c r="R17" i="16"/>
  <c r="R20" i="16" s="1"/>
  <c r="R23" i="16" s="1"/>
  <c r="S32" i="7"/>
  <c r="S8" i="9"/>
  <c r="S12" i="11"/>
  <c r="R24" i="16"/>
  <c r="R15" i="2"/>
  <c r="R34" i="7"/>
  <c r="O24" i="21"/>
  <c r="O26" i="21"/>
  <c r="O23" i="21"/>
  <c r="C37" i="20" s="1"/>
  <c r="C44" i="20" s="1"/>
  <c r="S13" i="16" l="1"/>
  <c r="S33" i="7"/>
  <c r="S24" i="16" l="1"/>
  <c r="S15" i="2"/>
  <c r="S34" i="7"/>
  <c r="S18" i="16"/>
  <c r="S17" i="16"/>
  <c r="S20" i="16" l="1"/>
  <c r="S23" i="16" s="1"/>
  <c r="C28" i="3" s="1"/>
  <c r="C20" i="3"/>
  <c r="C21" i="3" s="1"/>
  <c r="C24" i="3"/>
  <c r="C26" i="3" l="1"/>
  <c r="C23" i="3"/>
  <c r="C29" i="3" l="1"/>
  <c r="C25" i="3"/>
  <c r="J7" i="8"/>
  <c r="K7" i="8"/>
  <c r="L7" i="8"/>
  <c r="M7" i="8"/>
  <c r="N7" i="8"/>
  <c r="O7" i="8"/>
  <c r="P7" i="8"/>
  <c r="Q7" i="8"/>
  <c r="R7" i="8"/>
  <c r="S7" i="8"/>
  <c r="J12" i="8"/>
  <c r="K12" i="8"/>
  <c r="L12" i="8"/>
  <c r="M12" i="8"/>
  <c r="N12" i="8"/>
  <c r="O12" i="8"/>
  <c r="P12" i="8"/>
  <c r="Q12" i="8"/>
  <c r="R12" i="8"/>
  <c r="S12" i="8"/>
  <c r="J17" i="8"/>
  <c r="K17" i="8"/>
  <c r="L17" i="8"/>
  <c r="M17" i="8"/>
  <c r="N17" i="8"/>
  <c r="O17" i="8"/>
  <c r="P17" i="8"/>
  <c r="Q17" i="8"/>
  <c r="R17" i="8"/>
  <c r="S17" i="8"/>
  <c r="J19" i="8"/>
  <c r="K19" i="8"/>
  <c r="L19" i="8"/>
  <c r="M19" i="8"/>
  <c r="N19" i="8"/>
  <c r="O19" i="8"/>
  <c r="P19" i="8"/>
  <c r="Q19" i="8"/>
  <c r="R19" i="8"/>
  <c r="S19" i="8"/>
  <c r="J28" i="8"/>
  <c r="K28" i="8"/>
  <c r="L28" i="8"/>
  <c r="M28" i="8"/>
  <c r="N28" i="8"/>
  <c r="O28" i="8"/>
  <c r="P28" i="8"/>
  <c r="Q28" i="8"/>
  <c r="R28" i="8"/>
  <c r="S28" i="8"/>
  <c r="J33" i="8"/>
  <c r="K33" i="8"/>
  <c r="L33" i="8"/>
  <c r="M33" i="8"/>
  <c r="N33" i="8"/>
  <c r="O33" i="8"/>
  <c r="P33" i="8"/>
  <c r="Q33" i="8"/>
  <c r="R33" i="8"/>
  <c r="S33" i="8"/>
  <c r="J35" i="8"/>
  <c r="K35" i="8"/>
  <c r="L35" i="8"/>
  <c r="M35" i="8"/>
  <c r="N35" i="8"/>
  <c r="O35" i="8"/>
  <c r="P35" i="8"/>
  <c r="Q35" i="8"/>
  <c r="R35" i="8"/>
  <c r="S35" i="8"/>
  <c r="J36" i="8"/>
  <c r="K36" i="8"/>
  <c r="L36" i="8"/>
  <c r="M36" i="8"/>
  <c r="N36" i="8"/>
  <c r="O36" i="8"/>
  <c r="P36" i="8"/>
  <c r="Q36" i="8"/>
  <c r="R36" i="8"/>
  <c r="S36" i="8"/>
  <c r="J38" i="8"/>
  <c r="K38" i="8"/>
  <c r="L38" i="8"/>
  <c r="M38" i="8"/>
  <c r="N38" i="8"/>
  <c r="O38" i="8"/>
  <c r="P38" i="8"/>
  <c r="Q38" i="8"/>
  <c r="R38" i="8"/>
  <c r="S38" i="8"/>
  <c r="J39" i="8"/>
  <c r="K39" i="8"/>
  <c r="L39" i="8"/>
  <c r="M39" i="8"/>
  <c r="N39" i="8"/>
  <c r="O39" i="8"/>
  <c r="P39" i="8"/>
  <c r="Q39" i="8"/>
  <c r="R39" i="8"/>
  <c r="S39" i="8"/>
  <c r="E40" i="8"/>
  <c r="J7" i="9"/>
  <c r="K7" i="9"/>
  <c r="L7" i="9"/>
  <c r="M7" i="9"/>
  <c r="N7" i="9"/>
  <c r="O7" i="9"/>
  <c r="P7" i="9"/>
  <c r="Q7" i="9"/>
  <c r="R7" i="9"/>
  <c r="S7" i="9"/>
  <c r="J12" i="9"/>
  <c r="K12" i="9"/>
  <c r="L12" i="9"/>
  <c r="M12" i="9"/>
  <c r="N12" i="9"/>
  <c r="O12" i="9"/>
  <c r="P12" i="9"/>
  <c r="Q12" i="9"/>
  <c r="R12" i="9"/>
  <c r="S12" i="9"/>
  <c r="J20" i="9"/>
  <c r="K20" i="9"/>
  <c r="L20" i="9"/>
  <c r="M20" i="9"/>
  <c r="N20" i="9"/>
  <c r="O20" i="9"/>
  <c r="P20" i="9"/>
  <c r="Q20" i="9"/>
  <c r="R20" i="9"/>
  <c r="S20" i="9"/>
  <c r="J27" i="9"/>
  <c r="K27" i="9"/>
  <c r="L27" i="9"/>
  <c r="M27" i="9"/>
  <c r="N27" i="9"/>
  <c r="O27" i="9"/>
  <c r="P27" i="9"/>
  <c r="Q27" i="9"/>
  <c r="R27" i="9"/>
  <c r="S27" i="9"/>
  <c r="J28" i="9"/>
  <c r="K28" i="9"/>
  <c r="L28" i="9"/>
  <c r="M28" i="9"/>
  <c r="N28" i="9"/>
  <c r="O28" i="9"/>
  <c r="P28" i="9"/>
  <c r="Q28" i="9"/>
  <c r="R28" i="9"/>
  <c r="S28" i="9"/>
  <c r="J29" i="9"/>
  <c r="K29" i="9"/>
  <c r="L29" i="9"/>
  <c r="M29" i="9"/>
  <c r="N29" i="9"/>
  <c r="O29" i="9"/>
  <c r="P29" i="9"/>
  <c r="Q29" i="9"/>
  <c r="R29" i="9"/>
  <c r="S29" i="9"/>
  <c r="J31" i="9"/>
  <c r="K31" i="9"/>
  <c r="L31" i="9"/>
  <c r="M31" i="9"/>
  <c r="N31" i="9"/>
  <c r="O31" i="9"/>
  <c r="P31" i="9"/>
  <c r="Q31" i="9"/>
  <c r="R31" i="9"/>
  <c r="S31" i="9"/>
  <c r="J33" i="9"/>
  <c r="K33" i="9"/>
  <c r="L33" i="9"/>
  <c r="M33" i="9"/>
  <c r="N33" i="9"/>
  <c r="O33" i="9"/>
  <c r="P33" i="9"/>
  <c r="Q33" i="9"/>
  <c r="R33" i="9"/>
  <c r="S33" i="9"/>
  <c r="K34" i="9"/>
  <c r="L34" i="9"/>
  <c r="M34" i="9"/>
  <c r="N34" i="9"/>
  <c r="O34" i="9"/>
  <c r="P34" i="9"/>
  <c r="Q34" i="9"/>
  <c r="R34" i="9"/>
  <c r="S34" i="9"/>
  <c r="J35" i="9"/>
  <c r="K35" i="9"/>
  <c r="L35" i="9"/>
  <c r="M35" i="9"/>
  <c r="N35" i="9"/>
  <c r="O35" i="9"/>
  <c r="P35" i="9"/>
  <c r="Q35" i="9"/>
  <c r="R35" i="9"/>
  <c r="S35" i="9"/>
  <c r="J37" i="9"/>
  <c r="K37" i="9"/>
  <c r="L37" i="9"/>
  <c r="M37" i="9"/>
  <c r="N37" i="9"/>
  <c r="O37" i="9"/>
  <c r="P37" i="9"/>
  <c r="Q37" i="9"/>
  <c r="R37" i="9"/>
  <c r="S37" i="9"/>
  <c r="J38" i="9"/>
  <c r="K38" i="9"/>
  <c r="L38" i="9"/>
  <c r="M38" i="9"/>
  <c r="N38" i="9"/>
  <c r="O38" i="9"/>
  <c r="P38" i="9"/>
  <c r="Q38" i="9"/>
  <c r="R38" i="9"/>
  <c r="S38" i="9"/>
  <c r="J39" i="9"/>
  <c r="K39" i="9"/>
  <c r="L39" i="9"/>
  <c r="M39" i="9"/>
  <c r="N39" i="9"/>
  <c r="O39" i="9"/>
  <c r="P39" i="9"/>
  <c r="Q39" i="9"/>
  <c r="R39" i="9"/>
  <c r="S39" i="9"/>
  <c r="J40" i="9"/>
  <c r="K40" i="9"/>
  <c r="L40" i="9"/>
  <c r="M40" i="9"/>
  <c r="N40" i="9"/>
  <c r="O40" i="9"/>
  <c r="P40" i="9"/>
  <c r="Q40" i="9"/>
  <c r="R40" i="9"/>
  <c r="S40" i="9"/>
  <c r="J41" i="9"/>
  <c r="K41" i="9"/>
  <c r="L41" i="9"/>
  <c r="M41" i="9"/>
  <c r="N41" i="9"/>
  <c r="O41" i="9"/>
  <c r="P41" i="9"/>
  <c r="Q41" i="9"/>
  <c r="R41" i="9"/>
  <c r="S41" i="9"/>
  <c r="J42" i="9"/>
  <c r="K42" i="9"/>
  <c r="L42" i="9"/>
  <c r="M42" i="9"/>
  <c r="N42" i="9"/>
  <c r="O42" i="9"/>
  <c r="P42" i="9"/>
  <c r="Q42" i="9"/>
  <c r="R42" i="9"/>
  <c r="S42" i="9"/>
  <c r="J43" i="9"/>
  <c r="K43" i="9"/>
  <c r="L43" i="9"/>
  <c r="M43" i="9"/>
  <c r="N43" i="9"/>
  <c r="O43" i="9"/>
  <c r="P43" i="9"/>
  <c r="Q43" i="9"/>
  <c r="R43" i="9"/>
  <c r="S43" i="9"/>
  <c r="D31" i="18"/>
  <c r="E31" i="18"/>
  <c r="F31" i="18"/>
  <c r="C7" i="1"/>
  <c r="C8" i="1"/>
  <c r="C9" i="1"/>
  <c r="C10" i="1"/>
  <c r="C18" i="1"/>
  <c r="C19" i="1"/>
  <c r="C21" i="1"/>
  <c r="J16" i="2"/>
  <c r="K16" i="2"/>
  <c r="L16" i="2"/>
  <c r="M16" i="2"/>
  <c r="N16" i="2"/>
  <c r="O16" i="2"/>
  <c r="P16" i="2"/>
  <c r="Q16" i="2"/>
  <c r="R16" i="2"/>
  <c r="S16" i="2"/>
  <c r="J17" i="2"/>
  <c r="K17" i="2"/>
  <c r="L17" i="2"/>
  <c r="M17" i="2"/>
  <c r="N17" i="2"/>
  <c r="O17" i="2"/>
  <c r="P17" i="2"/>
  <c r="Q17" i="2"/>
  <c r="R17" i="2"/>
  <c r="S17" i="2"/>
  <c r="J18" i="2"/>
  <c r="K18" i="2"/>
  <c r="L18" i="2"/>
  <c r="M18" i="2"/>
  <c r="N18" i="2"/>
  <c r="O18" i="2"/>
  <c r="P18" i="2"/>
  <c r="Q18" i="2"/>
  <c r="R18" i="2"/>
  <c r="S18" i="2"/>
  <c r="J19" i="2"/>
  <c r="K19" i="2"/>
  <c r="L19" i="2"/>
  <c r="M19" i="2"/>
  <c r="N19" i="2"/>
  <c r="O19" i="2"/>
  <c r="P19" i="2"/>
  <c r="Q19" i="2"/>
  <c r="R19" i="2"/>
  <c r="S19" i="2"/>
  <c r="J20" i="2"/>
  <c r="K20" i="2"/>
  <c r="L20" i="2"/>
  <c r="M20" i="2"/>
  <c r="N20" i="2"/>
  <c r="O20" i="2"/>
  <c r="P20" i="2"/>
  <c r="Q20" i="2"/>
  <c r="R20" i="2"/>
  <c r="S20" i="2"/>
  <c r="J21" i="2"/>
  <c r="K21" i="2"/>
  <c r="L21" i="2"/>
  <c r="M21" i="2"/>
  <c r="N21" i="2"/>
  <c r="O21" i="2"/>
  <c r="P21" i="2"/>
  <c r="Q21" i="2"/>
  <c r="R21" i="2"/>
  <c r="S21" i="2"/>
  <c r="J22" i="2"/>
  <c r="K22" i="2"/>
  <c r="L22" i="2"/>
  <c r="M22" i="2"/>
  <c r="N22" i="2"/>
  <c r="O22" i="2"/>
  <c r="P22" i="2"/>
  <c r="Q22" i="2"/>
  <c r="R22" i="2"/>
  <c r="S22" i="2"/>
  <c r="J32" i="2"/>
  <c r="J33" i="2"/>
  <c r="J34" i="2"/>
  <c r="J35" i="2"/>
  <c r="J36" i="2"/>
  <c r="J37" i="2"/>
  <c r="J41" i="2"/>
  <c r="K41" i="2"/>
  <c r="L41" i="2"/>
  <c r="M41" i="2"/>
  <c r="N41" i="2"/>
  <c r="O41" i="2"/>
  <c r="J26" i="16"/>
  <c r="K26" i="16"/>
  <c r="L26" i="16"/>
  <c r="M26" i="16"/>
  <c r="N26" i="16"/>
  <c r="O26" i="16"/>
  <c r="P26" i="16"/>
  <c r="Q26" i="16"/>
  <c r="R26" i="16"/>
  <c r="S26" i="16"/>
  <c r="J27" i="16"/>
  <c r="K27" i="16"/>
  <c r="L27" i="16"/>
  <c r="M27" i="16"/>
  <c r="N27" i="16"/>
  <c r="O27" i="16"/>
  <c r="P27" i="16"/>
  <c r="Q27" i="16"/>
  <c r="R27" i="16"/>
  <c r="S27" i="16"/>
  <c r="J28" i="16"/>
  <c r="K28" i="16"/>
  <c r="L28" i="16"/>
  <c r="M28" i="16"/>
  <c r="N28" i="16"/>
  <c r="O28" i="16"/>
  <c r="P28" i="16"/>
  <c r="Q28" i="16"/>
  <c r="R28" i="16"/>
  <c r="S28" i="16"/>
  <c r="J30" i="16"/>
  <c r="K30" i="16"/>
  <c r="L30" i="16"/>
  <c r="M30" i="16"/>
  <c r="N30" i="16"/>
  <c r="O30" i="16"/>
  <c r="P30" i="16"/>
  <c r="Q30" i="16"/>
  <c r="R30" i="16"/>
  <c r="S30" i="16"/>
  <c r="K31" i="16"/>
  <c r="L31" i="16"/>
  <c r="M31" i="16"/>
  <c r="N31" i="16"/>
  <c r="O31" i="16"/>
  <c r="P31" i="16"/>
  <c r="Q31" i="16"/>
  <c r="R31" i="16"/>
  <c r="S31" i="16"/>
  <c r="J32" i="16"/>
  <c r="K32" i="16"/>
  <c r="L32" i="16"/>
  <c r="M32" i="16"/>
  <c r="N32" i="16"/>
  <c r="O32" i="16"/>
  <c r="P32" i="16"/>
  <c r="Q32" i="16"/>
  <c r="R32" i="16"/>
  <c r="S32" i="16"/>
  <c r="J33" i="16"/>
  <c r="K33" i="16"/>
  <c r="L33" i="16"/>
  <c r="M33" i="16"/>
  <c r="N33" i="16"/>
  <c r="O33" i="16"/>
  <c r="P33" i="16"/>
  <c r="Q33" i="16"/>
  <c r="R33" i="16"/>
  <c r="S33" i="16"/>
  <c r="K8" i="13"/>
  <c r="L8" i="13"/>
  <c r="M8" i="13"/>
  <c r="N8" i="13"/>
  <c r="O8" i="13"/>
  <c r="P8" i="13"/>
  <c r="Q8" i="13"/>
  <c r="R8" i="13"/>
  <c r="S8" i="13"/>
  <c r="J9" i="13"/>
  <c r="K9" i="13"/>
  <c r="L9" i="13"/>
  <c r="M9" i="13"/>
  <c r="N9" i="13"/>
  <c r="O9" i="13"/>
  <c r="P9" i="13"/>
  <c r="Q9" i="13"/>
  <c r="R9" i="13"/>
  <c r="S9" i="13"/>
  <c r="J10" i="13"/>
  <c r="K10" i="13"/>
  <c r="L10" i="13"/>
  <c r="M10" i="13"/>
  <c r="N10" i="13"/>
  <c r="O10" i="13"/>
  <c r="P10" i="13"/>
  <c r="Q10" i="13"/>
  <c r="R10" i="13"/>
  <c r="S10" i="13"/>
  <c r="M11" i="13"/>
  <c r="J13" i="13"/>
  <c r="K13" i="13"/>
  <c r="L13" i="13"/>
  <c r="M13" i="13"/>
  <c r="N13" i="13"/>
  <c r="O13" i="13"/>
  <c r="P13" i="13"/>
  <c r="Q13" i="13"/>
  <c r="R13" i="13"/>
  <c r="S13" i="13"/>
  <c r="J14" i="13"/>
  <c r="K14" i="13"/>
  <c r="L14" i="13"/>
  <c r="M14" i="13"/>
  <c r="N14" i="13"/>
  <c r="O14" i="13"/>
  <c r="P14" i="13"/>
  <c r="Q14" i="13"/>
  <c r="R14" i="13"/>
  <c r="S14" i="13"/>
  <c r="K16" i="13"/>
  <c r="L16" i="13"/>
  <c r="M16" i="13"/>
  <c r="N16" i="13"/>
  <c r="O16" i="13"/>
  <c r="P16" i="13"/>
  <c r="Q16" i="13"/>
  <c r="R16" i="13"/>
  <c r="S16" i="13"/>
  <c r="J17" i="13"/>
  <c r="K17" i="13"/>
  <c r="L17" i="13"/>
  <c r="M17" i="13"/>
  <c r="N17" i="13"/>
  <c r="O17" i="13"/>
  <c r="P17" i="13"/>
  <c r="Q17" i="13"/>
  <c r="R17" i="13"/>
  <c r="S17" i="13"/>
  <c r="J18" i="13"/>
  <c r="K18" i="13"/>
  <c r="L18" i="13"/>
  <c r="M18" i="13"/>
  <c r="N18" i="13"/>
  <c r="O18" i="13"/>
  <c r="P18" i="13"/>
  <c r="Q18" i="13"/>
  <c r="R18" i="13"/>
  <c r="S18" i="13"/>
  <c r="J20" i="13"/>
  <c r="K20" i="13"/>
  <c r="L20" i="13"/>
  <c r="M20" i="13"/>
  <c r="N20" i="13"/>
  <c r="O20" i="13"/>
  <c r="P20" i="13"/>
  <c r="Q20" i="13"/>
  <c r="R20" i="13"/>
  <c r="S20" i="13"/>
  <c r="J21" i="13"/>
  <c r="K21" i="13"/>
  <c r="L21" i="13"/>
  <c r="M21" i="13"/>
  <c r="N21" i="13"/>
  <c r="O21" i="13"/>
  <c r="P21" i="13"/>
  <c r="Q21" i="13"/>
  <c r="R21" i="13"/>
  <c r="S21" i="13"/>
  <c r="J22" i="13"/>
  <c r="K22" i="13"/>
  <c r="L22" i="13"/>
  <c r="M22" i="13"/>
  <c r="N22" i="13"/>
  <c r="O22" i="13"/>
  <c r="P22" i="13"/>
  <c r="Q22" i="13"/>
  <c r="R22" i="13"/>
  <c r="S22" i="13"/>
  <c r="K24" i="13"/>
  <c r="L24" i="13"/>
  <c r="M24" i="13"/>
  <c r="N24" i="13"/>
  <c r="O24" i="13"/>
  <c r="P24" i="13"/>
  <c r="Q24" i="13"/>
  <c r="R24" i="13"/>
  <c r="S24" i="13"/>
  <c r="M25" i="13"/>
  <c r="J26" i="13"/>
  <c r="K26" i="13"/>
  <c r="L26" i="13"/>
  <c r="M26" i="13"/>
  <c r="N26" i="13"/>
  <c r="O26" i="13"/>
  <c r="P26" i="13"/>
  <c r="Q26" i="13"/>
  <c r="R26" i="13"/>
  <c r="S26" i="13"/>
  <c r="J27" i="13"/>
  <c r="K27" i="13"/>
  <c r="L27" i="13"/>
  <c r="M27" i="13"/>
  <c r="N27" i="13"/>
  <c r="O27" i="13"/>
  <c r="P27" i="13"/>
  <c r="Q27" i="13"/>
  <c r="R27" i="13"/>
  <c r="S27" i="13"/>
  <c r="J29" i="13"/>
  <c r="K29" i="13"/>
  <c r="L29" i="13"/>
  <c r="M29" i="13"/>
  <c r="N29" i="13"/>
  <c r="O29" i="13"/>
  <c r="P29" i="13"/>
  <c r="Q29" i="13"/>
  <c r="R29" i="13"/>
  <c r="S29" i="13"/>
  <c r="J46" i="13"/>
  <c r="K46" i="13"/>
  <c r="L46" i="13"/>
  <c r="M46" i="13"/>
  <c r="N46" i="13"/>
  <c r="O46" i="13"/>
  <c r="P46" i="13"/>
  <c r="Q46" i="13"/>
  <c r="R46" i="13"/>
  <c r="S46" i="13"/>
  <c r="J50" i="13"/>
  <c r="K50" i="13"/>
  <c r="L50" i="13"/>
  <c r="M50" i="13"/>
  <c r="N50" i="13"/>
  <c r="O50" i="13"/>
  <c r="P50" i="13"/>
  <c r="Q50" i="13"/>
  <c r="R50" i="13"/>
  <c r="S50" i="13"/>
  <c r="J51" i="13"/>
  <c r="K51" i="13"/>
  <c r="L51" i="13"/>
  <c r="M51" i="13"/>
  <c r="N51" i="13"/>
  <c r="O51" i="13"/>
  <c r="P51" i="13"/>
  <c r="Q51" i="13"/>
  <c r="R51" i="13"/>
  <c r="S51" i="13"/>
  <c r="J52" i="13"/>
  <c r="K52" i="13"/>
  <c r="L52" i="13"/>
  <c r="M52" i="13"/>
  <c r="N52" i="13"/>
  <c r="O52" i="13"/>
  <c r="P52" i="13"/>
  <c r="Q52" i="13"/>
  <c r="R52" i="13"/>
  <c r="S52" i="13"/>
  <c r="J54" i="13"/>
  <c r="K54" i="13"/>
  <c r="L54" i="13"/>
  <c r="M54" i="13"/>
  <c r="N54" i="13"/>
  <c r="O54" i="13"/>
  <c r="P54" i="13"/>
  <c r="Q54" i="13"/>
  <c r="R54" i="13"/>
  <c r="S54" i="13"/>
  <c r="J55" i="13"/>
  <c r="K55" i="13"/>
  <c r="L55" i="13"/>
  <c r="M55" i="13"/>
  <c r="N55" i="13"/>
  <c r="O55" i="13"/>
  <c r="P55" i="13"/>
  <c r="Q55" i="13"/>
  <c r="R55" i="13"/>
  <c r="S55" i="13"/>
  <c r="J56" i="13"/>
  <c r="K56" i="13"/>
  <c r="L56" i="13"/>
  <c r="M56" i="13"/>
  <c r="N56" i="13"/>
  <c r="O56" i="13"/>
  <c r="P56" i="13"/>
  <c r="Q56" i="13"/>
  <c r="R56" i="13"/>
  <c r="S56" i="13"/>
  <c r="J57" i="13"/>
  <c r="K57" i="13"/>
  <c r="L57" i="13"/>
  <c r="M57" i="13"/>
  <c r="N57" i="13"/>
  <c r="O57" i="13"/>
  <c r="P57" i="13"/>
  <c r="Q57" i="13"/>
  <c r="R57" i="13"/>
  <c r="S57" i="13"/>
  <c r="J58" i="13"/>
  <c r="K58" i="13"/>
  <c r="L58" i="13"/>
  <c r="M58" i="13"/>
  <c r="N58" i="13"/>
  <c r="O58" i="13"/>
  <c r="P58" i="13"/>
  <c r="Q58" i="13"/>
  <c r="R58" i="13"/>
  <c r="S58" i="13"/>
  <c r="K7" i="14"/>
  <c r="L7" i="14"/>
  <c r="M7" i="14"/>
  <c r="N7" i="14"/>
  <c r="O7" i="14"/>
  <c r="P7" i="14"/>
  <c r="Q7" i="14"/>
  <c r="R7" i="14"/>
  <c r="S7" i="14"/>
  <c r="J8" i="14"/>
  <c r="K8" i="14"/>
  <c r="L8" i="14"/>
  <c r="M8" i="14"/>
  <c r="N8" i="14"/>
  <c r="O8" i="14"/>
  <c r="P8" i="14"/>
  <c r="Q8" i="14"/>
  <c r="R8" i="14"/>
  <c r="S8" i="14"/>
  <c r="J10" i="14"/>
  <c r="K10" i="14"/>
  <c r="L10" i="14"/>
  <c r="M10" i="14"/>
  <c r="N10" i="14"/>
  <c r="O10" i="14"/>
  <c r="P10" i="14"/>
  <c r="Q10" i="14"/>
  <c r="R10" i="14"/>
  <c r="S10" i="14"/>
  <c r="J12" i="14"/>
  <c r="K12" i="14"/>
  <c r="L12" i="14"/>
  <c r="M12" i="14"/>
  <c r="N12" i="14"/>
  <c r="O12" i="14"/>
  <c r="P12" i="14"/>
  <c r="Q12" i="14"/>
  <c r="R12" i="14"/>
  <c r="S12" i="14"/>
  <c r="K14" i="14"/>
  <c r="L14" i="14"/>
  <c r="M14" i="14"/>
  <c r="N14" i="14"/>
  <c r="O14" i="14"/>
  <c r="P14" i="14"/>
  <c r="Q14" i="14"/>
  <c r="R14" i="14"/>
  <c r="S14" i="14"/>
  <c r="K15" i="14"/>
  <c r="L15" i="14"/>
  <c r="M15" i="14"/>
  <c r="N15" i="14"/>
  <c r="O15" i="14"/>
  <c r="P15" i="14"/>
  <c r="Q15" i="14"/>
  <c r="R15" i="14"/>
  <c r="S15" i="14"/>
  <c r="J16" i="14"/>
  <c r="K16" i="14"/>
  <c r="L16" i="14"/>
  <c r="M16" i="14"/>
  <c r="N16" i="14"/>
  <c r="O16" i="14"/>
  <c r="P16" i="14"/>
  <c r="Q16" i="14"/>
  <c r="R16" i="14"/>
  <c r="S16" i="14"/>
  <c r="J18" i="14"/>
  <c r="K18" i="14"/>
  <c r="L18" i="14"/>
  <c r="M18" i="14"/>
  <c r="N18" i="14"/>
  <c r="O18" i="14"/>
  <c r="P18" i="14"/>
  <c r="Q18" i="14"/>
  <c r="R18" i="14"/>
  <c r="S18" i="14"/>
  <c r="J19" i="14"/>
  <c r="K19" i="14"/>
  <c r="L19" i="14"/>
  <c r="M19" i="14"/>
  <c r="N19" i="14"/>
  <c r="O19" i="14"/>
  <c r="P19" i="14"/>
  <c r="Q19" i="14"/>
  <c r="R19" i="14"/>
  <c r="S19" i="14"/>
  <c r="J20" i="14"/>
  <c r="K20" i="14"/>
  <c r="L20" i="14"/>
  <c r="M20" i="14"/>
  <c r="N20" i="14"/>
  <c r="O20" i="14"/>
  <c r="P20" i="14"/>
  <c r="Q20" i="14"/>
  <c r="R20" i="14"/>
  <c r="S20" i="14"/>
  <c r="J21" i="14"/>
  <c r="K21" i="14"/>
  <c r="L21" i="14"/>
  <c r="M21" i="14"/>
  <c r="N21" i="14"/>
  <c r="O21" i="14"/>
  <c r="P21" i="14"/>
  <c r="Q21" i="14"/>
  <c r="R21" i="14"/>
  <c r="S21" i="14"/>
  <c r="C9" i="4"/>
  <c r="D9" i="4"/>
  <c r="E9" i="4"/>
  <c r="C11" i="4"/>
  <c r="D11" i="4"/>
  <c r="E11" i="4"/>
  <c r="C13" i="4"/>
  <c r="D13" i="4"/>
  <c r="E13" i="4"/>
  <c r="C16" i="4"/>
  <c r="C17" i="4"/>
  <c r="B18" i="4"/>
  <c r="J17" i="7"/>
  <c r="K17" i="7"/>
  <c r="L17" i="7"/>
  <c r="M17" i="7"/>
  <c r="N17" i="7"/>
  <c r="O17" i="7"/>
  <c r="P17" i="7"/>
  <c r="Q17" i="7"/>
  <c r="R17" i="7"/>
  <c r="S17" i="7"/>
  <c r="J18" i="7"/>
  <c r="K18" i="7"/>
  <c r="L18" i="7"/>
  <c r="M18" i="7"/>
  <c r="N18" i="7"/>
  <c r="O18" i="7"/>
  <c r="P18" i="7"/>
  <c r="Q18" i="7"/>
  <c r="R18" i="7"/>
  <c r="S18" i="7"/>
  <c r="J20" i="7"/>
  <c r="K20" i="7"/>
  <c r="L20" i="7"/>
  <c r="M20" i="7"/>
  <c r="N20" i="7"/>
  <c r="O20" i="7"/>
  <c r="P20" i="7"/>
  <c r="Q20" i="7"/>
  <c r="R20" i="7"/>
  <c r="S20" i="7"/>
  <c r="J21" i="7"/>
  <c r="K21" i="7"/>
  <c r="L21" i="7"/>
  <c r="M21" i="7"/>
  <c r="N21" i="7"/>
  <c r="O21" i="7"/>
  <c r="P21" i="7"/>
  <c r="Q21" i="7"/>
  <c r="R21" i="7"/>
  <c r="S21" i="7"/>
  <c r="J22" i="7"/>
  <c r="K22" i="7"/>
  <c r="L22" i="7"/>
  <c r="M22" i="7"/>
  <c r="N22" i="7"/>
  <c r="O22" i="7"/>
  <c r="P22" i="7"/>
  <c r="Q22" i="7"/>
  <c r="R22" i="7"/>
  <c r="S22" i="7"/>
  <c r="J23" i="7"/>
  <c r="K23" i="7"/>
  <c r="L23" i="7"/>
  <c r="M23" i="7"/>
  <c r="N23" i="7"/>
  <c r="O23" i="7"/>
  <c r="P23" i="7"/>
  <c r="Q23" i="7"/>
  <c r="R23" i="7"/>
  <c r="S23" i="7"/>
  <c r="J24" i="7"/>
  <c r="K24" i="7"/>
  <c r="L24" i="7"/>
  <c r="M24" i="7"/>
  <c r="N24" i="7"/>
  <c r="O24" i="7"/>
  <c r="P24" i="7"/>
  <c r="Q24" i="7"/>
  <c r="R24" i="7"/>
  <c r="S24" i="7"/>
  <c r="J25" i="7"/>
  <c r="K25" i="7"/>
  <c r="L25" i="7"/>
  <c r="M25" i="7"/>
  <c r="N25" i="7"/>
  <c r="O25" i="7"/>
  <c r="P25" i="7"/>
  <c r="Q25" i="7"/>
  <c r="R25" i="7"/>
  <c r="S25" i="7"/>
  <c r="J39" i="7"/>
  <c r="K39" i="7"/>
  <c r="L39" i="7"/>
  <c r="M39" i="7"/>
  <c r="N39" i="7"/>
  <c r="O39" i="7"/>
  <c r="P39" i="7"/>
  <c r="Q39" i="7"/>
  <c r="R39" i="7"/>
  <c r="S39" i="7"/>
  <c r="J40" i="7"/>
  <c r="K40" i="7"/>
  <c r="L40" i="7"/>
  <c r="M40" i="7"/>
  <c r="N40" i="7"/>
  <c r="O40" i="7"/>
  <c r="P40" i="7"/>
  <c r="Q40" i="7"/>
  <c r="R40" i="7"/>
  <c r="S40" i="7"/>
  <c r="C8" i="20"/>
  <c r="C9" i="20"/>
  <c r="C10" i="20"/>
  <c r="C12" i="20"/>
  <c r="C21" i="20"/>
  <c r="C25" i="20"/>
  <c r="C26" i="20"/>
  <c r="C27" i="20"/>
  <c r="C29" i="20"/>
  <c r="C30" i="20"/>
  <c r="C32" i="20"/>
  <c r="C33" i="20"/>
  <c r="C36" i="20"/>
  <c r="C38" i="20"/>
  <c r="C39" i="20"/>
  <c r="C40" i="20"/>
  <c r="C42" i="20"/>
  <c r="C43" i="20"/>
  <c r="C45" i="20"/>
  <c r="C46" i="20"/>
  <c r="C48" i="20"/>
  <c r="C49" i="20"/>
  <c r="C52" i="20"/>
  <c r="D52" i="20"/>
  <c r="E52" i="20"/>
  <c r="F52" i="20"/>
  <c r="G52" i="20"/>
  <c r="C53" i="20"/>
  <c r="D53" i="20"/>
  <c r="E53" i="20"/>
  <c r="F53" i="20"/>
  <c r="G53" i="20"/>
  <c r="C54" i="20"/>
  <c r="D54" i="20"/>
  <c r="E54" i="20"/>
  <c r="F54" i="20"/>
  <c r="G54" i="20"/>
  <c r="C55" i="20"/>
  <c r="D55" i="20"/>
  <c r="E55" i="20"/>
  <c r="F55" i="20"/>
  <c r="G55" i="20"/>
  <c r="C56" i="20"/>
  <c r="D56" i="20"/>
  <c r="E56" i="20"/>
  <c r="F56" i="20"/>
  <c r="G56" i="20"/>
  <c r="C57" i="20"/>
  <c r="D57" i="20"/>
  <c r="E57" i="20"/>
  <c r="F57" i="20"/>
  <c r="G57" i="20"/>
  <c r="C58" i="20"/>
  <c r="D58" i="20"/>
  <c r="E58" i="20"/>
  <c r="F58" i="20"/>
  <c r="G58" i="20"/>
  <c r="C59" i="20"/>
  <c r="D59" i="20"/>
  <c r="E59" i="20"/>
  <c r="F59" i="20"/>
  <c r="G59" i="20"/>
  <c r="C16" i="23"/>
  <c r="C29" i="23"/>
  <c r="C34" i="23"/>
  <c r="C36" i="23"/>
  <c r="C37" i="23"/>
  <c r="C38" i="23"/>
  <c r="C40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B31" i="17"/>
  <c r="C42" i="17"/>
  <c r="D42" i="17"/>
  <c r="E42" i="17"/>
  <c r="J6" i="12"/>
  <c r="K6" i="12"/>
  <c r="L6" i="12"/>
  <c r="M6" i="12"/>
  <c r="N6" i="12"/>
  <c r="O6" i="12"/>
  <c r="P6" i="12"/>
  <c r="Q6" i="12"/>
  <c r="R6" i="12"/>
  <c r="S6" i="12"/>
  <c r="J8" i="12"/>
  <c r="K8" i="12"/>
  <c r="L8" i="12"/>
  <c r="M8" i="12"/>
  <c r="N8" i="12"/>
  <c r="O8" i="12"/>
  <c r="P8" i="12"/>
  <c r="Q8" i="12"/>
  <c r="R8" i="12"/>
  <c r="S8" i="12"/>
  <c r="J10" i="12"/>
  <c r="K10" i="12"/>
  <c r="L10" i="12"/>
  <c r="M10" i="12"/>
  <c r="N10" i="12"/>
  <c r="O10" i="12"/>
  <c r="P10" i="12"/>
  <c r="Q10" i="12"/>
  <c r="R10" i="12"/>
  <c r="S10" i="12"/>
  <c r="J11" i="12"/>
  <c r="K11" i="12"/>
  <c r="L11" i="12"/>
  <c r="M11" i="12"/>
  <c r="N11" i="12"/>
  <c r="O11" i="12"/>
  <c r="P11" i="12"/>
  <c r="Q11" i="12"/>
  <c r="R11" i="12"/>
  <c r="S11" i="12"/>
  <c r="J12" i="12"/>
  <c r="K12" i="12"/>
  <c r="L12" i="12"/>
  <c r="M12" i="12"/>
  <c r="N12" i="12"/>
  <c r="O12" i="12"/>
  <c r="P12" i="12"/>
  <c r="Q12" i="12"/>
  <c r="R12" i="12"/>
  <c r="S12" i="12"/>
  <c r="K14" i="12"/>
  <c r="L14" i="12"/>
  <c r="M14" i="12"/>
  <c r="N14" i="12"/>
  <c r="O14" i="12"/>
  <c r="P14" i="12"/>
  <c r="Q14" i="12"/>
  <c r="R14" i="12"/>
  <c r="S14" i="12"/>
  <c r="J15" i="12"/>
  <c r="K15" i="12"/>
  <c r="L15" i="12"/>
  <c r="M15" i="12"/>
  <c r="N15" i="12"/>
  <c r="O15" i="12"/>
  <c r="P15" i="12"/>
  <c r="Q15" i="12"/>
  <c r="R15" i="12"/>
  <c r="S15" i="12"/>
  <c r="C30" i="3"/>
  <c r="C31" i="3"/>
  <c r="C32" i="3"/>
  <c r="C36" i="3"/>
  <c r="C37" i="3"/>
  <c r="C38" i="3"/>
  <c r="C39" i="3"/>
  <c r="C40" i="3"/>
  <c r="C41" i="3"/>
  <c r="C42" i="3"/>
  <c r="C43" i="3"/>
  <c r="C45" i="3"/>
  <c r="C46" i="3"/>
  <c r="C47" i="3"/>
  <c r="C48" i="3"/>
  <c r="C49" i="3"/>
  <c r="C73" i="3"/>
  <c r="C74" i="3"/>
  <c r="C75" i="3"/>
  <c r="C76" i="3"/>
  <c r="C22" i="15"/>
  <c r="C23" i="15"/>
</calcChain>
</file>

<file path=xl/sharedStrings.xml><?xml version="1.0" encoding="utf-8"?>
<sst xmlns="http://schemas.openxmlformats.org/spreadsheetml/2006/main" count="1547" uniqueCount="964">
  <si>
    <t>Dashboard - operating model outputs</t>
  </si>
  <si>
    <t>Crocs, Inc. (NASDAQ: CROX) | US$ millions unless stated</t>
  </si>
  <si>
    <t>Fiscal year ending 31-Dec</t>
  </si>
  <si>
    <t>Unit</t>
  </si>
  <si>
    <t>FY2021A</t>
  </si>
  <si>
    <t>FY2022A</t>
  </si>
  <si>
    <t>FY2023A</t>
  </si>
  <si>
    <t>FY2024A</t>
  </si>
  <si>
    <t>FY2025A</t>
  </si>
  <si>
    <t>FY2026E</t>
  </si>
  <si>
    <t>FY2027E</t>
  </si>
  <si>
    <t>FY2028E</t>
  </si>
  <si>
    <t>FY2029E</t>
  </si>
  <si>
    <t>FY2030E</t>
  </si>
  <si>
    <t>FY2031E</t>
  </si>
  <si>
    <t>FY2032E</t>
  </si>
  <si>
    <t>FY2033E</t>
  </si>
  <si>
    <t>FY2034E</t>
  </si>
  <si>
    <t>FY2035E</t>
  </si>
  <si>
    <t>Scenario override (used by the scenario table - leave at 0)</t>
  </si>
  <si>
    <t>Key outputs</t>
  </si>
  <si>
    <t>Revenue</t>
  </si>
  <si>
    <t xml:space="preserve">   growth</t>
  </si>
  <si>
    <t>Crocs brand revenue</t>
  </si>
  <si>
    <t>HEYDUDE revenue</t>
  </si>
  <si>
    <t>Gross margin</t>
  </si>
  <si>
    <t>Management EBIT margin</t>
  </si>
  <si>
    <t>Analyst EBIT margin</t>
  </si>
  <si>
    <t>EBITDA</t>
  </si>
  <si>
    <t>Adjusted diluted EPS (US$)</t>
  </si>
  <si>
    <t>GAAP diluted EPS (US$)</t>
  </si>
  <si>
    <t>Free cash flow</t>
  </si>
  <si>
    <t>Share repurchases</t>
  </si>
  <si>
    <t>Net debt</t>
  </si>
  <si>
    <t>Net debt / EBITDA</t>
  </si>
  <si>
    <t>Diluted shares (m)</t>
  </si>
  <si>
    <t>FY2026E vs management guidance (30-Jul-2026)</t>
  </si>
  <si>
    <t>Revenue growth</t>
  </si>
  <si>
    <t xml:space="preserve">   within guidance?</t>
  </si>
  <si>
    <t>Crocs brand growth</t>
  </si>
  <si>
    <t>HEYDUDE growth</t>
  </si>
  <si>
    <t>Management (adjusted) EBIT margin</t>
  </si>
  <si>
    <t>GAAP effective tax rate</t>
  </si>
  <si>
    <t>Memo: model FY26 diluted shares (m)</t>
  </si>
  <si>
    <t>Memo: diluted shares implied by guidance-midpoint EPS</t>
  </si>
  <si>
    <t>Valuation summary &amp; price target</t>
  </si>
  <si>
    <t>Terminal-value and bridge assumptions</t>
  </si>
  <si>
    <t>Terminal growth - Base</t>
  </si>
  <si>
    <t>Long-run nominal growth for a mature brand</t>
  </si>
  <si>
    <t>Terminal growth - Bull</t>
  </si>
  <si>
    <t>Terminal growth - Bear</t>
  </si>
  <si>
    <t>A shrinking brand cannot grow at GDP forever</t>
  </si>
  <si>
    <t>Terminal growth - live scenario</t>
  </si>
  <si>
    <t>Exit EV / EBITDA (cross-check method)</t>
  </si>
  <si>
    <t>US GAAP basis; Crocs trades ~7x, developed peers ~9x</t>
  </si>
  <si>
    <t>Terminal cash tax rate</t>
  </si>
  <si>
    <t>IP step-up shield has expired by then</t>
  </si>
  <si>
    <t>H2 share of FY26 free cash flow</t>
  </si>
  <si>
    <t>FY23-25 average (quarterly data)</t>
  </si>
  <si>
    <t>Years to realise the residual deferred tax asset</t>
  </si>
  <si>
    <t>Roll-forward from 30-Jun to 30-Sep (years)</t>
  </si>
  <si>
    <t>Cash at 30-Jun-2026</t>
  </si>
  <si>
    <t>10-Q Q2-26</t>
  </si>
  <si>
    <t>Long-term income taxes payable (uncertain tax positions)</t>
  </si>
  <si>
    <t>10-Q Q2-26 - a debt-like claim most models miss</t>
  </si>
  <si>
    <t>Share of UTP treated as debt</t>
  </si>
  <si>
    <t>100% = conservative</t>
  </si>
  <si>
    <t>Book equity at 30-Jun-2026</t>
  </si>
  <si>
    <t>For residual income</t>
  </si>
  <si>
    <t>Terminal value</t>
  </si>
  <si>
    <t>FY35E FCFF</t>
  </si>
  <si>
    <t>FCFF normalised for terminal tax rate</t>
  </si>
  <si>
    <t>Discount period to end-FY35 (years)</t>
  </si>
  <si>
    <t>Terminal value - Gordon growth</t>
  </si>
  <si>
    <t>Terminal value - exit multiple</t>
  </si>
  <si>
    <t>Implied exit multiple in Gordon TV</t>
  </si>
  <si>
    <t>Implied perpetual growth in exit-multiple TV</t>
  </si>
  <si>
    <t>Enterprise value -&gt; equity value (Gordon, primary)</t>
  </si>
  <si>
    <t>PV of FCFF H2-26 to FY35</t>
  </si>
  <si>
    <t>PV of terminal value</t>
  </si>
  <si>
    <t>PV of residual deferred-tax-asset shield after FY35</t>
  </si>
  <si>
    <t>Enterprise value</t>
  </si>
  <si>
    <t xml:space="preserve">   terminal value share of EV</t>
  </si>
  <si>
    <t>Less: debt (face)</t>
  </si>
  <si>
    <t>Plus: cash</t>
  </si>
  <si>
    <t>Less: uncertain tax positions</t>
  </si>
  <si>
    <t>Equity value at 30-Jun-2026</t>
  </si>
  <si>
    <t>Equity value rolled to 30-Sep-2026</t>
  </si>
  <si>
    <t>DCF value per share (US$)</t>
  </si>
  <si>
    <t xml:space="preserve">   upside / (downside) vs share price</t>
  </si>
  <si>
    <t>Cross-check: value per share, exit-multiple TV</t>
  </si>
  <si>
    <t>Implied EV / FY26E EBITDA at DCF value</t>
  </si>
  <si>
    <t>NTM adjusted EPS (25% FY26E + 75% FY27E)</t>
  </si>
  <si>
    <t>Implied NTM P/E at DCF value</t>
  </si>
  <si>
    <t>Alternative lenses</t>
  </si>
  <si>
    <t>FCFE model - value per share</t>
  </si>
  <si>
    <t>Levered cash flows at Ke; excess cash added, UTP deducted</t>
  </si>
  <si>
    <t>Residual income model - value per share</t>
  </si>
  <si>
    <t>Book value is small after buybacks, so most value is residual income</t>
  </si>
  <si>
    <t>FY27E total payout (buybacks / net income)</t>
  </si>
  <si>
    <t>Justified forward P/E = payout / (Ke - g)</t>
  </si>
  <si>
    <t>Gordon-growth-based multiple</t>
  </si>
  <si>
    <t>Justified P/E x NTM EPS</t>
  </si>
  <si>
    <t>Sum of the parts (FY26E EBITDA)</t>
  </si>
  <si>
    <t>Crocs brand EBITDA</t>
  </si>
  <si>
    <t>HEYDUDE EBITDA</t>
  </si>
  <si>
    <t>Corporate costs &amp; charges</t>
  </si>
  <si>
    <t>Multiple - Crocs brand</t>
  </si>
  <si>
    <t>Developed-market peer median (~9-10x)</t>
  </si>
  <si>
    <t>Multiple - HEYDUDE</t>
  </si>
  <si>
    <t>Shrinking brand in reset: Wolverine / Dr. Martens-type</t>
  </si>
  <si>
    <t>Multiple - corporate costs</t>
  </si>
  <si>
    <t>Blended</t>
  </si>
  <si>
    <t>SOTP enterprise value</t>
  </si>
  <si>
    <t>SOTP value per share</t>
  </si>
  <si>
    <t>Market enterprise value (incl. UTP)</t>
  </si>
  <si>
    <t>What the market pays for HEYDUDE (residual)</t>
  </si>
  <si>
    <t>Market EV less Crocs brand and corporate at the multiples above</t>
  </si>
  <si>
    <t xml:space="preserve">   implied HEYDUDE EV / EBITDA</t>
  </si>
  <si>
    <t>Scenarios, probability weights and price target</t>
  </si>
  <si>
    <t>Probability - Bull</t>
  </si>
  <si>
    <t>Probability - Base</t>
  </si>
  <si>
    <t>Probability - Bear</t>
  </si>
  <si>
    <t>Bear weighted up for fashion-cycle risk</t>
  </si>
  <si>
    <t>DCF value - Base (data table)</t>
  </si>
  <si>
    <t>DCF value - Bull (data table)</t>
  </si>
  <si>
    <t>DCF value - Bear (data table)</t>
  </si>
  <si>
    <t>Probability-weighted DCF value</t>
  </si>
  <si>
    <t>Price-target weight - probability-weighted DCF</t>
  </si>
  <si>
    <t>Price-target weight - EV/EBITDA comps</t>
  </si>
  <si>
    <t>Price-target weight - P/E comps</t>
  </si>
  <si>
    <t>Blended value</t>
  </si>
  <si>
    <t>12-month PRICE TARGET (US$, rounded to $5)</t>
  </si>
  <si>
    <t xml:space="preserve">   upside to price target</t>
  </si>
  <si>
    <t>RATING</t>
  </si>
  <si>
    <t>BUY &gt; +15%, SELL &lt; -10%</t>
  </si>
  <si>
    <t>Reverse DCF (Base case, Goal Seek: ValuePerShare = SharePrice)</t>
  </si>
  <si>
    <t>Growth shift that equates DCF to the share price (all leaves, all years)</t>
  </si>
  <si>
    <t>Goal Seek on Sensitivity!GrowthShift with CircSwitch = 0, pasted as value</t>
  </si>
  <si>
    <t>Market-implied FY25-30 revenue CAGR</t>
  </si>
  <si>
    <t>FY30 revenue at the Goal Seek solution, pasted as value</t>
  </si>
  <si>
    <t>Live-scenario FY25-30 revenue CAGR</t>
  </si>
  <si>
    <t>Market-implied terminal growth (Base margins)</t>
  </si>
  <si>
    <t>Goal Seek on TG_Base with CircSwitch = 0, pasted as value</t>
  </si>
  <si>
    <t>Valuation football field (US$ per share)</t>
  </si>
  <si>
    <t>Inputs &amp; scenarios</t>
  </si>
  <si>
    <t>Comment</t>
  </si>
  <si>
    <t>Model controls &amp; market data</t>
  </si>
  <si>
    <t>Scenario (1 = Base, 2 = Bull, 3 = Bear)</t>
  </si>
  <si>
    <t>Drives every CHOOSE() on this sheet</t>
  </si>
  <si>
    <t>Circularity switch (1 = average balances, 0 = opening)</t>
  </si>
  <si>
    <t>Set to 0 if Excel ever shows a circular-reference warning, then back to 1</t>
  </si>
  <si>
    <t>Share price (US$) - Nasdaq close 30-Sep-2026 (valuation date)</t>
  </si>
  <si>
    <t>Nasdaq close; update before use</t>
  </si>
  <si>
    <t>Basic shares outstanding (m) - 23-Jul-2026</t>
  </si>
  <si>
    <t>10-Q Q2-26 cover page</t>
  </si>
  <si>
    <t>Return all excess cash once revolver &amp; TLB are repaid (1 = yes)</t>
  </si>
  <si>
    <t>Stops idle cash piling up; mgmt targets 1.0-1.5x leverage</t>
  </si>
  <si>
    <t>Buyback price method (1 = constant P/E on trailing EPS, 2 = fixed growth)</t>
  </si>
  <si>
    <t>Mode 1 keeps the multiple constant, so cheap buybacks do not compound forever</t>
  </si>
  <si>
    <t>Repurchase price growth p.a. (mode 2 only)</t>
  </si>
  <si>
    <t>~cost of equity</t>
  </si>
  <si>
    <t>Minimum operating cash balance</t>
  </si>
  <si>
    <t>FY25 year-end 130; LTM 170</t>
  </si>
  <si>
    <t>Interest rate earned on cash</t>
  </si>
  <si>
    <t>Revolving credit facility capacity</t>
  </si>
  <si>
    <t>10-K: $1.0bn senior revolver</t>
  </si>
  <si>
    <t>Revolver margin over SOFR</t>
  </si>
  <si>
    <t>10-K grid: SOFR + 1.35% to 1.98%</t>
  </si>
  <si>
    <t>Commitment fee on undrawn revolver</t>
  </si>
  <si>
    <t>Term Loan B margin over SOFR</t>
  </si>
  <si>
    <t>10-K: SOFR + 2.25%; matures Feb-2029</t>
  </si>
  <si>
    <t>Excess-cash sweep to Term Loan B</t>
  </si>
  <si>
    <t>After the revolver is repaid</t>
  </si>
  <si>
    <t>Coupon - 4.25% senior notes due Mar-2029</t>
  </si>
  <si>
    <t>10-K; $350m outstanding</t>
  </si>
  <si>
    <t>Coupon - 4.125% senior notes due Aug-2031</t>
  </si>
  <si>
    <t>Refinance senior notes at maturity (1 = yes)</t>
  </si>
  <si>
    <t>0 = repay from cash / revolver</t>
  </si>
  <si>
    <t>Coupon on refinancing notes</t>
  </si>
  <si>
    <t>Assumption: BB-rated consumer credit</t>
  </si>
  <si>
    <t>Amortisation of deferred financing fees p.a.</t>
  </si>
  <si>
    <t>Unamortised $31.1m at FY25</t>
  </si>
  <si>
    <t>Shares issued on RSU vesting p.a. (m)</t>
  </si>
  <si>
    <t>Net of withholding</t>
  </si>
  <si>
    <t>Dilutive securities (m)</t>
  </si>
  <si>
    <t>FY25: 0.37m under treasury-stock method</t>
  </si>
  <si>
    <t>Live scenario used by the model</t>
  </si>
  <si>
    <t>Equals the selector unless the Dashboard scenario table is overriding it</t>
  </si>
  <si>
    <t>Revenue drivers (scenario)</t>
  </si>
  <si>
    <t>Crocs North America wholesale growth</t>
  </si>
  <si>
    <t>H1-26 -14%; retailers de-stocking the clog, DTC taking share</t>
  </si>
  <si>
    <t xml:space="preserve">   Base</t>
  </si>
  <si>
    <t xml:space="preserve">   Bull</t>
  </si>
  <si>
    <t xml:space="preserve">   Bear</t>
  </si>
  <si>
    <t>Crocs North America DTC growth</t>
  </si>
  <si>
    <t>H1-26 +5%; mature channel, growth ~ nominal consumer spend</t>
  </si>
  <si>
    <t>Crocs International wholesale growth</t>
  </si>
  <si>
    <t>H1-26 -1% as distributor markets move to DTC (takebacks)</t>
  </si>
  <si>
    <t>Crocs International DTC growth</t>
  </si>
  <si>
    <t>H1-26 +26%; China, India, SE Asia store &amp; e-com build-out</t>
  </si>
  <si>
    <t>HEYDUDE wholesale growth</t>
  </si>
  <si>
    <t>H1-26 -21%; brand reset, cleaning up channel inventory</t>
  </si>
  <si>
    <t>HEYDUDE DTC growth</t>
  </si>
  <si>
    <t>H1-26 +8%; DTC holding up while wholesale resets</t>
  </si>
  <si>
    <t>Margin drivers (scenario)</t>
  </si>
  <si>
    <t>Crocs brand gross margin</t>
  </si>
  <si>
    <t>FY24 61.6%, FY25 61.3%, LTM 60.6%; tariffs offset by DTC mix</t>
  </si>
  <si>
    <t>HEYDUDE gross margin</t>
  </si>
  <si>
    <t>FY24 47.7% -&gt; LTM 42.1% on clearance; partial recovery once channel is clean</t>
  </si>
  <si>
    <t>Crocs brand SG&amp;A % revenue</t>
  </si>
  <si>
    <t>FY24 25.5% -&gt; FY25 27.9% (marketing, DTC build); operating leverage in Base</t>
  </si>
  <si>
    <t>HEYDUDE SG&amp;A % revenue</t>
  </si>
  <si>
    <t>FY25 35.2%, LTM 34.0% after cost actions</t>
  </si>
  <si>
    <t>Corporate / unallocated costs % revenue</t>
  </si>
  <si>
    <t>FY25 7.3%; shared services, corporate IT</t>
  </si>
  <si>
    <t>Restructuring &amp; other charges % revenue</t>
  </si>
  <si>
    <t>Guided ~$25m FY26; treated as a recurring cost (appears every year since 2019)</t>
  </si>
  <si>
    <t>Working capital &amp; capex (scenario)</t>
  </si>
  <si>
    <t>Receivable days (DSO, on revenue)</t>
  </si>
  <si>
    <t>FY23 28.2, FY24 22.9, FY25 25.1 (year-end)</t>
  </si>
  <si>
    <t>Inventory days (DIO, on COGS)</t>
  </si>
  <si>
    <t>FY23 80.2, FY24 76.9, FY25 79.9</t>
  </si>
  <si>
    <t>Payable days (DPO, on COGS)</t>
  </si>
  <si>
    <t>FY23 54.4, FY24 57.2, FY25 57.7</t>
  </si>
  <si>
    <t>Capex % revenue</t>
  </si>
  <si>
    <t>FY22-23 2.9% (DC build-out), FY25 1.3%, LTM 1.4%</t>
  </si>
  <si>
    <t>Other drivers (all scenarios)</t>
  </si>
  <si>
    <t>Accrued expenses % revenue</t>
  </si>
  <si>
    <t>FY25 7.4%</t>
  </si>
  <si>
    <t>Prepaid &amp; other current assets % revenue</t>
  </si>
  <si>
    <t>FY25 1.9%</t>
  </si>
  <si>
    <t>Depreciation % beginning net PP&amp;E</t>
  </si>
  <si>
    <t>FY25 55.7 / 244.3 = 22.8%</t>
  </si>
  <si>
    <t>Share-based compensation % revenue</t>
  </si>
  <si>
    <t>FY23-25 0.7-0.9%</t>
  </si>
  <si>
    <t>Operating lease liabilities % revenue</t>
  </si>
  <si>
    <t>FY25 9.5%, rising with DTC stores</t>
  </si>
  <si>
    <t>Guided ~23% FY26; includes non-cash IP deferred-tax unwind</t>
  </si>
  <si>
    <t>Cash / adjusted tax rate</t>
  </si>
  <si>
    <t>Guided adjusted ETR ~18%; normalised 18.0%</t>
  </si>
  <si>
    <t>SOFR (forward curve assumption)</t>
  </si>
  <si>
    <t>Assumption - update to the forward curve</t>
  </si>
  <si>
    <t>Share repurchases % of free cash flow</t>
  </si>
  <si>
    <t>FY24 60%, FY25 88% of FCF; $2.0bn authorisation</t>
  </si>
  <si>
    <t>Amortisation of acquired &amp; existing intangibles</t>
  </si>
  <si>
    <t>10-K FY25 schedule: 22.5 / 20.4 / 18.5 / 16.7 / 14.9, then 88.2 after year 5</t>
  </si>
  <si>
    <t>Crocs footwear ASP growth</t>
  </si>
  <si>
    <t>FY21-25 CAGR +3.4%; used for the units cross-check</t>
  </si>
  <si>
    <t>HEYDUDE footwear ASP growth</t>
  </si>
  <si>
    <t>FY22-25 CAGR +2.6%</t>
  </si>
  <si>
    <t>Revenue build - brand x region x channel</t>
  </si>
  <si>
    <t>Crocs brand</t>
  </si>
  <si>
    <t>North America - Wholesale</t>
  </si>
  <si>
    <t>North America - DTC</t>
  </si>
  <si>
    <t>International - Wholesale</t>
  </si>
  <si>
    <t>International - DTC</t>
  </si>
  <si>
    <t>Crocs North America</t>
  </si>
  <si>
    <t>Crocs International</t>
  </si>
  <si>
    <t>HEYDUDE brand</t>
  </si>
  <si>
    <t>Wholesale</t>
  </si>
  <si>
    <t>DTC</t>
  </si>
  <si>
    <t>Consolidated</t>
  </si>
  <si>
    <t>Total revenue</t>
  </si>
  <si>
    <t>Direct-to-consumer revenue</t>
  </si>
  <si>
    <t xml:space="preserve">   DTC share of revenue</t>
  </si>
  <si>
    <t xml:space="preserve">   Crocs International share of Crocs brand</t>
  </si>
  <si>
    <t xml:space="preserve">   HEYDUDE share of revenue</t>
  </si>
  <si>
    <t>Cross-check: units x ASP (footwear only)</t>
  </si>
  <si>
    <t>Crocs footwear ASP (US$)</t>
  </si>
  <si>
    <t xml:space="preserve">   Crocs footwear share of brand revenue</t>
  </si>
  <si>
    <t>Crocs implied footwear units (m pairs)</t>
  </si>
  <si>
    <t xml:space="preserve">   implied unit growth</t>
  </si>
  <si>
    <t>HEYDUDE footwear ASP (US$)</t>
  </si>
  <si>
    <t xml:space="preserve">   HEYDUDE footwear share of brand revenue</t>
  </si>
  <si>
    <t>HEYDUDE implied footwear units (m pairs)</t>
  </si>
  <si>
    <t>Income statement</t>
  </si>
  <si>
    <t>Profit &amp; loss</t>
  </si>
  <si>
    <t>Cost of sales</t>
  </si>
  <si>
    <t>Gross profit</t>
  </si>
  <si>
    <t xml:space="preserve">   gross margin</t>
  </si>
  <si>
    <t>SG&amp;A (incl. restructuring charges)</t>
  </si>
  <si>
    <t xml:space="preserve">   % revenue</t>
  </si>
  <si>
    <t>Asset impairments</t>
  </si>
  <si>
    <t>Operating income (EBIT)</t>
  </si>
  <si>
    <t xml:space="preserve">   EBIT margin</t>
  </si>
  <si>
    <t>Interest income</t>
  </si>
  <si>
    <t>Interest expense</t>
  </si>
  <si>
    <t>Other non-operating income (incl. FX)</t>
  </si>
  <si>
    <t>Pre-tax income</t>
  </si>
  <si>
    <t>Income tax expense / (benefit)</t>
  </si>
  <si>
    <t xml:space="preserve">   effective tax rate</t>
  </si>
  <si>
    <t>Net income</t>
  </si>
  <si>
    <t>Diluted weighted-average shares (m)</t>
  </si>
  <si>
    <t>Diluted EPS (US$)</t>
  </si>
  <si>
    <t>SG&amp;A build (forecast)</t>
  </si>
  <si>
    <t>Crocs brand SG&amp;A</t>
  </si>
  <si>
    <t>HEYDUDE SG&amp;A</t>
  </si>
  <si>
    <t>Corporate / unallocated</t>
  </si>
  <si>
    <t>Restructuring &amp; other charges (recurring)</t>
  </si>
  <si>
    <t>Adjusted metrics &amp; EBITDA</t>
  </si>
  <si>
    <t>Depreciation &amp; amortisation</t>
  </si>
  <si>
    <t>EBITDA (before impairments)</t>
  </si>
  <si>
    <t xml:space="preserve">   EBITDA margin</t>
  </si>
  <si>
    <t>Analyst-adjusted EBIT</t>
  </si>
  <si>
    <t xml:space="preserve">   analyst EBIT margin</t>
  </si>
  <si>
    <t>Management non-GAAP EBIT</t>
  </si>
  <si>
    <t xml:space="preserve">   management EBIT margin</t>
  </si>
  <si>
    <t>Adjusted diluted EPS - management basis (US$)</t>
  </si>
  <si>
    <t>Segment EBIT</t>
  </si>
  <si>
    <t>Crocs brand segment EBIT</t>
  </si>
  <si>
    <t xml:space="preserve">   margin</t>
  </si>
  <si>
    <t>HEYDUDE segment EBIT</t>
  </si>
  <si>
    <t>Corporate, unallocated &amp; charges</t>
  </si>
  <si>
    <t>Total = EBIT</t>
  </si>
  <si>
    <t>Balance sheet</t>
  </si>
  <si>
    <t>Assets</t>
  </si>
  <si>
    <t>Cash &amp; equivalents</t>
  </si>
  <si>
    <t>Accounts receivable</t>
  </si>
  <si>
    <t>Inventories</t>
  </si>
  <si>
    <t>Income taxes receivable</t>
  </si>
  <si>
    <t>Prepaid &amp; other current assets</t>
  </si>
  <si>
    <t>Total current assets</t>
  </si>
  <si>
    <t>PP&amp;E, net</t>
  </si>
  <si>
    <t>Operating lease ROU assets</t>
  </si>
  <si>
    <t>Goodwill</t>
  </si>
  <si>
    <t>Intangible assets, net</t>
  </si>
  <si>
    <t>Deferred tax assets</t>
  </si>
  <si>
    <t>Other non-current assets</t>
  </si>
  <si>
    <t>Total assets</t>
  </si>
  <si>
    <t>Liabilities</t>
  </si>
  <si>
    <t>Accounts payable</t>
  </si>
  <si>
    <t>Accrued expenses &amp; other</t>
  </si>
  <si>
    <t>Income taxes payable</t>
  </si>
  <si>
    <t>Operating lease liabilities - current</t>
  </si>
  <si>
    <t>Current debt</t>
  </si>
  <si>
    <t>Other current liabilities</t>
  </si>
  <si>
    <t>Total current liabilities</t>
  </si>
  <si>
    <t>Long-term debt (net of fees)</t>
  </si>
  <si>
    <t>Operating lease liabilities - non-current</t>
  </si>
  <si>
    <t>Long-term income taxes payable</t>
  </si>
  <si>
    <t>Deferred tax liabilities</t>
  </si>
  <si>
    <t>Other non-current liabilities</t>
  </si>
  <si>
    <t>Total liabilities</t>
  </si>
  <si>
    <t>Equity</t>
  </si>
  <si>
    <t>Total stockholders' equity</t>
  </si>
  <si>
    <t>Total liabilities &amp; equity</t>
  </si>
  <si>
    <t>Memo</t>
  </si>
  <si>
    <t>Net debt (excl. leases)</t>
  </si>
  <si>
    <t>Balance check: assets - (liabilities + equity)</t>
  </si>
  <si>
    <t>Balance check, all years (0 = OK)</t>
  </si>
  <si>
    <t>Cash flow statement</t>
  </si>
  <si>
    <t>Operating activities</t>
  </si>
  <si>
    <t>Amortisation of debt issuance costs</t>
  </si>
  <si>
    <t>Share-based compensation</t>
  </si>
  <si>
    <t>Deferred taxes</t>
  </si>
  <si>
    <t>(Increase) / decrease in receivables</t>
  </si>
  <si>
    <t>(Increase) / decrease in inventories</t>
  </si>
  <si>
    <t>(Increase) / decrease in prepaid &amp; other</t>
  </si>
  <si>
    <t>Increase / (decrease) in payables</t>
  </si>
  <si>
    <t>Increase / (decrease) in accrued &amp; other</t>
  </si>
  <si>
    <t>Operating leases: liability less ROU</t>
  </si>
  <si>
    <t>Working capital &amp; other (as reported, combined)</t>
  </si>
  <si>
    <t>Cash from operations</t>
  </si>
  <si>
    <t>Investing activities</t>
  </si>
  <si>
    <t>Capital expenditures</t>
  </si>
  <si>
    <t>Acquisitions, net of cash</t>
  </si>
  <si>
    <t>Other investing</t>
  </si>
  <si>
    <t>Cash from investing</t>
  </si>
  <si>
    <t>Financing activities</t>
  </si>
  <si>
    <t>Debt issued</t>
  </si>
  <si>
    <t>Debt repaid</t>
  </si>
  <si>
    <t>Other financing</t>
  </si>
  <si>
    <t>Cash from financing</t>
  </si>
  <si>
    <t>FX effect on cash</t>
  </si>
  <si>
    <t>Net change in cash</t>
  </si>
  <si>
    <t>Opening cash</t>
  </si>
  <si>
    <t>Closing cash</t>
  </si>
  <si>
    <t>Free cash flow (CFO - capex)</t>
  </si>
  <si>
    <t>FCF after SBC</t>
  </si>
  <si>
    <t xml:space="preserve">   FCF / net income</t>
  </si>
  <si>
    <t>FCF per diluted share (US$)</t>
  </si>
  <si>
    <t>Memo: cash interest paid</t>
  </si>
  <si>
    <t>Memo: cash taxes paid</t>
  </si>
  <si>
    <t>Working capital schedule</t>
  </si>
  <si>
    <t>Current assets</t>
  </si>
  <si>
    <t xml:space="preserve">   DSO (days)</t>
  </si>
  <si>
    <t xml:space="preserve">   DIO (days)</t>
  </si>
  <si>
    <t>Current liabilities</t>
  </si>
  <si>
    <t xml:space="preserve">   DPO (days)</t>
  </si>
  <si>
    <t>Summary</t>
  </si>
  <si>
    <t>Operating working capital</t>
  </si>
  <si>
    <t>Cash conversion cycle (days)</t>
  </si>
  <si>
    <t>(Increase) / decrease in working capital</t>
  </si>
  <si>
    <t>PP&amp;E, intangibles &amp; leases</t>
  </si>
  <si>
    <t>PP&amp;E (incl. capitalised software)</t>
  </si>
  <si>
    <t>Opening PP&amp;E, net</t>
  </si>
  <si>
    <t>Depreciation</t>
  </si>
  <si>
    <t>Disposals, FX &amp; other</t>
  </si>
  <si>
    <t>Closing PP&amp;E, net</t>
  </si>
  <si>
    <t xml:space="preserve">   capex / depreciation</t>
  </si>
  <si>
    <t>Goodwill &amp; intangibles</t>
  </si>
  <si>
    <t>Opening finite-lived intangibles</t>
  </si>
  <si>
    <t>Amortisation</t>
  </si>
  <si>
    <t>Closing finite-lived intangibles</t>
  </si>
  <si>
    <t>Indefinite-lived (HEYDUDE &amp; Crocs trademarks)</t>
  </si>
  <si>
    <t>Operating leases (ASC 842)</t>
  </si>
  <si>
    <t>Operating lease liabilities - total</t>
  </si>
  <si>
    <t xml:space="preserve">   of which: current</t>
  </si>
  <si>
    <t xml:space="preserve">   of which: non-current</t>
  </si>
  <si>
    <t>Cash-flow effect: change in (liability - ROU)</t>
  </si>
  <si>
    <t>Memo: operating lease cost (in SG&amp;A)</t>
  </si>
  <si>
    <t>Tax schedule - book vs cash</t>
  </si>
  <si>
    <t>Book tax expense</t>
  </si>
  <si>
    <t>Tax at cash rate</t>
  </si>
  <si>
    <t>Deferred tax expense (non-cash)</t>
  </si>
  <si>
    <t>Cash taxes</t>
  </si>
  <si>
    <t>Deferred tax asset</t>
  </si>
  <si>
    <t>Opening deferred tax assets</t>
  </si>
  <si>
    <t>Closing deferred tax assets</t>
  </si>
  <si>
    <t>Debt schedule, interest &amp; cash sweep</t>
  </si>
  <si>
    <t>SOFR</t>
  </si>
  <si>
    <t>Cash available for debt service</t>
  </si>
  <si>
    <t>Free cash flow before financing (CFO + CFI)</t>
  </si>
  <si>
    <t>Less: share repurchases</t>
  </si>
  <si>
    <t>Less: scheduled maturities, net of refinancing</t>
  </si>
  <si>
    <t>Less: minimum cash</t>
  </si>
  <si>
    <t>Cash available / (shortfall)</t>
  </si>
  <si>
    <t>Excess after repaying the revolver</t>
  </si>
  <si>
    <t>Revolving credit facility ($1.0bn)</t>
  </si>
  <si>
    <t>Opening balance</t>
  </si>
  <si>
    <t>Draw / (repayment)</t>
  </si>
  <si>
    <t>Closing balance</t>
  </si>
  <si>
    <t xml:space="preserve">   rate (SOFR + margin)</t>
  </si>
  <si>
    <t>Interest</t>
  </si>
  <si>
    <t>Commitment fee on undrawn</t>
  </si>
  <si>
    <t>Undrawn availability</t>
  </si>
  <si>
    <t>Term Loan B (SOFR + 2.25%, matures Feb-2029)</t>
  </si>
  <si>
    <t>Scheduled repayment / maturity</t>
  </si>
  <si>
    <t>Optional prepayment (cash sweep)</t>
  </si>
  <si>
    <t xml:space="preserve">   rate</t>
  </si>
  <si>
    <t>4.25% senior notes due Mar-2029</t>
  </si>
  <si>
    <t>Repayment at maturity</t>
  </si>
  <si>
    <t>4.125% senior notes due Aug-2031</t>
  </si>
  <si>
    <t>Refinancing notes (issued to refinance maturing notes)</t>
  </si>
  <si>
    <t>Issuance</t>
  </si>
  <si>
    <t>Totals</t>
  </si>
  <si>
    <t>Total debt - face value</t>
  </si>
  <si>
    <t>Opening unamortised issuance costs</t>
  </si>
  <si>
    <t>Amortisation of issuance costs (non-cash interest)</t>
  </si>
  <si>
    <t>Closing unamortised issuance costs</t>
  </si>
  <si>
    <t>Total debt - book value (face less fees)</t>
  </si>
  <si>
    <t>Total interest expense</t>
  </si>
  <si>
    <t>Interest income on cash</t>
  </si>
  <si>
    <t>Credit statistics</t>
  </si>
  <si>
    <t>Gross debt / EBITDA</t>
  </si>
  <si>
    <t>Lease-adjusted debt / EBITDAR</t>
  </si>
  <si>
    <t>EBITDA / interest expense</t>
  </si>
  <si>
    <t>Equity, share count &amp; buybacks</t>
  </si>
  <si>
    <t>Stockholders' equity</t>
  </si>
  <si>
    <t>Opening equity</t>
  </si>
  <si>
    <t>OCI, withholding &amp; other</t>
  </si>
  <si>
    <t>Closing equity</t>
  </si>
  <si>
    <t>Share count (m)</t>
  </si>
  <si>
    <t>Average repurchase price (US$)</t>
  </si>
  <si>
    <t>Opening basic shares</t>
  </si>
  <si>
    <t>Shares repurchased</t>
  </si>
  <si>
    <t>Shares issued (RSU vesting, net)</t>
  </si>
  <si>
    <t>Closing basic shares</t>
  </si>
  <si>
    <t>Weighted-average basic shares</t>
  </si>
  <si>
    <t>Diluted weighted-average shares</t>
  </si>
  <si>
    <t xml:space="preserve">   change in diluted shares</t>
  </si>
  <si>
    <t>Cost of capital (WACC)</t>
  </si>
  <si>
    <t>Cost of equity (CAPM)</t>
  </si>
  <si>
    <t>Risk-free rate - 10y US Treasury</t>
  </si>
  <si>
    <t>CBOE ^TNX close 30-Sep-2026</t>
  </si>
  <si>
    <t>Equity risk premium (US)</t>
  </si>
  <si>
    <t>Damodaran implied ERP, Jan-2026 (4.23%)</t>
  </si>
  <si>
    <t>Regression beta - 5y weekly vs S&amp;P 500</t>
  </si>
  <si>
    <t>OLS on 261 weekly returns; R-squared 0.16</t>
  </si>
  <si>
    <t>Blume-adjusted regression beta</t>
  </si>
  <si>
    <t>Mean reversion towards 1.0</t>
  </si>
  <si>
    <t>Memo: regression beta - 2y daily</t>
  </si>
  <si>
    <t>Cross-check (noisier)</t>
  </si>
  <si>
    <t>Bottom-up unlevered beta - developed-market peer median</t>
  </si>
  <si>
    <t>Deckers, Steve Madden, Wolverine, Birkenstock, On, Dr. Martens - Hamada at market D/E</t>
  </si>
  <si>
    <t>Debt - face value at 30-Jun-2026</t>
  </si>
  <si>
    <t>10-Q: revolver 134 + TLB 500 + 2029 notes 350 + 2031 notes 350</t>
  </si>
  <si>
    <t>Market capitalisation</t>
  </si>
  <si>
    <t>Market debt / equity</t>
  </si>
  <si>
    <t>Marginal tax rate (debt shield, relevering)</t>
  </si>
  <si>
    <t>US federal 21% + state</t>
  </si>
  <si>
    <t>Bottom-up beta relevered at Crocs' D/E</t>
  </si>
  <si>
    <t>Selected beta - average of Blume and bottom-up</t>
  </si>
  <si>
    <t>Cost of equity</t>
  </si>
  <si>
    <t>Cost of debt</t>
  </si>
  <si>
    <t>Credit spread - BB (S&amp;P) / Ba2 (Moody's)</t>
  </si>
  <si>
    <t>Agency ratings: S&amp;P BB stable (Feb-2025), Moody's Ba2 stable</t>
  </si>
  <si>
    <t>Pre-tax cost of debt</t>
  </si>
  <si>
    <t>After-tax cost of debt</t>
  </si>
  <si>
    <t>Memo: FY26E EBIT / interest</t>
  </si>
  <si>
    <t>Memo: Damodaran synthetic rating from coverage</t>
  </si>
  <si>
    <t>Coverage says AAA; agencies say BB (single-brand fashion risk) - we use the agency view</t>
  </si>
  <si>
    <t>Weights and WACC</t>
  </si>
  <si>
    <t>Debt / (debt + equity) - market values</t>
  </si>
  <si>
    <t>WACC</t>
  </si>
  <si>
    <t>Leases excluded: lease cost is in FCFF (US GAAP)</t>
  </si>
  <si>
    <t>Discounted cash flow - annual build</t>
  </si>
  <si>
    <t>Unlevered free cash flow (FCFF)</t>
  </si>
  <si>
    <t>EBIT (analyst: restructuring charges kept in)</t>
  </si>
  <si>
    <t>Cash tax rate on EBIT</t>
  </si>
  <si>
    <t>Less: taxes on EBIT</t>
  </si>
  <si>
    <t>NOPAT</t>
  </si>
  <si>
    <t>Plus: D&amp;A</t>
  </si>
  <si>
    <t>Less: capital expenditures</t>
  </si>
  <si>
    <t>Less: investment in working capital</t>
  </si>
  <si>
    <t>Plus: operating lease liability less ROU movement</t>
  </si>
  <si>
    <t>Unlevered free cash flow</t>
  </si>
  <si>
    <t xml:space="preserve">   net reinvestment rate</t>
  </si>
  <si>
    <t>Period fraction (H2-26 share of FY26 FCF)</t>
  </si>
  <si>
    <t>FCFF in valuation period</t>
  </si>
  <si>
    <t>Discount period (years from 30-Jun-2026, mid-period)</t>
  </si>
  <si>
    <t>Discount factor at WACC</t>
  </si>
  <si>
    <t>Present value of FCFF</t>
  </si>
  <si>
    <t>Memo: EBITDA</t>
  </si>
  <si>
    <t>Free cash flow to equity (FCFE) - discounted at the cost of equity</t>
  </si>
  <si>
    <t>FCFE (CFO - capex + net borrowing)</t>
  </si>
  <si>
    <t>FCFE in valuation period</t>
  </si>
  <si>
    <t>Present value at Ke</t>
  </si>
  <si>
    <t>Residual income (clean surplus) - discounted at the cost of equity</t>
  </si>
  <si>
    <t>Opening book equity</t>
  </si>
  <si>
    <t>Residual income = NI - Ke x opening book equity</t>
  </si>
  <si>
    <t>HEYDUDE reporting unit - fair value for the ASC 350 impairment test</t>
  </si>
  <si>
    <t>Less: allocated corporate costs</t>
  </si>
  <si>
    <t>Free cash flow (after reinvestment)</t>
  </si>
  <si>
    <t>Present value at WACC + HEYDUDE premium</t>
  </si>
  <si>
    <t>Valuation sensitivities</t>
  </si>
  <si>
    <t>Operating data-table inputs (leave at zero)</t>
  </si>
  <si>
    <t>Revenue growth shift applied to every leaf (all years)</t>
  </si>
  <si>
    <t>Gross margin shift applied to both brands (all years)</t>
  </si>
  <si>
    <t>Trading comparables - US, UK/Europe, India</t>
  </si>
  <si>
    <t>Precedent transactions - footwear &amp; branded apparel</t>
  </si>
  <si>
    <t>LBO - sponsor take-private (3G / Skechers analogue)</t>
  </si>
  <si>
    <t>Transaction assumptions</t>
  </si>
  <si>
    <t>Offer premium to current share price</t>
  </si>
  <si>
    <t>3G paid a 30% premium for Skechers</t>
  </si>
  <si>
    <t>Offer price per share (US$)</t>
  </si>
  <si>
    <t>Equity purchase price</t>
  </si>
  <si>
    <t>Existing debt refinanced (FY26E face)</t>
  </si>
  <si>
    <t>Existing cash used (FY26E)</t>
  </si>
  <si>
    <t>Entry enterprise value</t>
  </si>
  <si>
    <t>FY26E EBITDA</t>
  </si>
  <si>
    <t>Entry EV / EBITDA</t>
  </si>
  <si>
    <t>Term Loan B (x EBITDA)</t>
  </si>
  <si>
    <t>Senior secured</t>
  </si>
  <si>
    <t>Senior unsecured notes (x EBITDA)</t>
  </si>
  <si>
    <t>Total 5.0x - typical for a BB branded consumer</t>
  </si>
  <si>
    <t>Notes coupon</t>
  </si>
  <si>
    <t>Term Loan B mandatory amortisation p.a. (% of original)</t>
  </si>
  <si>
    <t>Excess cash sweep to Term Loan B</t>
  </si>
  <si>
    <t>M&amp;A advisory &amp; other fees (% of EV)</t>
  </si>
  <si>
    <t>Financing fees (% of new debt)</t>
  </si>
  <si>
    <t>Exit EV / EBITDA</t>
  </si>
  <si>
    <t>Default: no multiple expansion</t>
  </si>
  <si>
    <t>Sources &amp; uses</t>
  </si>
  <si>
    <t>Sources: Term Loan B</t>
  </si>
  <si>
    <t>Sources: senior notes</t>
  </si>
  <si>
    <t>Sources: existing cash</t>
  </si>
  <si>
    <t>Sources: sponsor equity (plug)</t>
  </si>
  <si>
    <t>Total sources</t>
  </si>
  <si>
    <t>Uses: purchase of equity</t>
  </si>
  <si>
    <t>Uses: refinance existing debt</t>
  </si>
  <si>
    <t>Uses: advisory and financing fees</t>
  </si>
  <si>
    <t>Uses: cash to balance sheet</t>
  </si>
  <si>
    <t>Total uses</t>
  </si>
  <si>
    <t>Sponsor equity % of total capitalisation</t>
  </si>
  <si>
    <t>Exit and returns (FY31)</t>
  </si>
  <si>
    <t>FY31E EBITDA</t>
  </si>
  <si>
    <t>Exit enterprise value</t>
  </si>
  <si>
    <t>Net debt at exit</t>
  </si>
  <si>
    <t>Exit equity value</t>
  </si>
  <si>
    <t>Money-on-money multiple (MOIC)</t>
  </si>
  <si>
    <t>IRR (5 years, no interim distributions)</t>
  </si>
  <si>
    <t>Value-creation bridge (entry equity -&gt; exit equity)</t>
  </si>
  <si>
    <t>EBITDA growth at entry multiple</t>
  </si>
  <si>
    <t>Multiple expansion / (contraction)</t>
  </si>
  <si>
    <t>Debt paydown &amp; cash build (net debt at close less net debt at exit)</t>
  </si>
  <si>
    <t>Transaction fees (value lost at entry)</t>
  </si>
  <si>
    <t>Check: bridge - (exit equity - entry equity) = 0</t>
  </si>
  <si>
    <t>What can a sponsor pay? (price for a target IRR)</t>
  </si>
  <si>
    <t>Maximum offer price for a 20% IRR (US$)</t>
  </si>
  <si>
    <t>Maximum offer price for a 25% IRR (US$)</t>
  </si>
  <si>
    <t>LBO - cash flow and debt schedule</t>
  </si>
  <si>
    <t>Cash flow available for debt service</t>
  </si>
  <si>
    <t>Less: capex</t>
  </si>
  <si>
    <t>Less: working capital investment</t>
  </si>
  <si>
    <t>Operating lease movement</t>
  </si>
  <si>
    <t>Less: cash interest</t>
  </si>
  <si>
    <t>Less: cash taxes</t>
  </si>
  <si>
    <t>Levered free cash flow</t>
  </si>
  <si>
    <t>Term Loan B</t>
  </si>
  <si>
    <t>Mandatory amortisation</t>
  </si>
  <si>
    <t>Cash sweep</t>
  </si>
  <si>
    <t>Senior notes (bullet)</t>
  </si>
  <si>
    <t>Cash and credit statistics</t>
  </si>
  <si>
    <t>Total debt / EBITDA</t>
  </si>
  <si>
    <t>EBITDA / cash interest</t>
  </si>
  <si>
    <t>Cumulative debt paydown</t>
  </si>
  <si>
    <t>HEYDUDE acquisition post-mortem &amp; ASC 350 impairment test</t>
  </si>
  <si>
    <t>The deal</t>
  </si>
  <si>
    <t>Headline price</t>
  </si>
  <si>
    <t>Crocs 8-K 23-Dec-2021: $2.05bn cash + 2.85m shares</t>
  </si>
  <si>
    <t>Cash paid, net of cash acquired</t>
  </si>
  <si>
    <t>10-K FY22 cash flow statement</t>
  </si>
  <si>
    <t>Fair value of Crocs shares issued</t>
  </si>
  <si>
    <t>10-K FY22 statement of equity</t>
  </si>
  <si>
    <t>Total consideration (fair value)</t>
  </si>
  <si>
    <t>HEYDUDE FY21E EBITDA at announcement</t>
  </si>
  <si>
    <t>Deal presentation / press (~$570m revenue)</t>
  </si>
  <si>
    <t>Goodwill recognised</t>
  </si>
  <si>
    <t>10-K FY22 purchase price allocation</t>
  </si>
  <si>
    <t>FY25 impairments (trademark $430m + goodwill $307m)</t>
  </si>
  <si>
    <t>10-K FY25</t>
  </si>
  <si>
    <t>Returns on the price paid (segment EBIT excl. impairments, 18% tax)</t>
  </si>
  <si>
    <t>Cumulative NOPAT FY22-FY25</t>
  </si>
  <si>
    <t>Best-year ROIC on consideration (FY23)</t>
  </si>
  <si>
    <t>FY25 ROIC on consideration</t>
  </si>
  <si>
    <t>FY30E ROIC on consideration (Base)</t>
  </si>
  <si>
    <t>Value today vs price paid</t>
  </si>
  <si>
    <t>FY26E HEYDUDE EBITDA</t>
  </si>
  <si>
    <t>EV / EBITDA a buyer would pay today</t>
  </si>
  <si>
    <t>Shrinking brand in reset</t>
  </si>
  <si>
    <t>Value today (trading multiple)</t>
  </si>
  <si>
    <t>Value destroyed = paid - (value today + cumulative NOPAT)</t>
  </si>
  <si>
    <t>Ignores time value - flatters the deal</t>
  </si>
  <si>
    <t xml:space="preserve">   per current share (US$)</t>
  </si>
  <si>
    <t>ASC 350 impairment test (reporting-unit fair value vs carrying amount)</t>
  </si>
  <si>
    <t>Share of corporate costs allocated to HEYDUDE</t>
  </si>
  <si>
    <t>Reinvestment rate (capex + working capital, % NOPAT)</t>
  </si>
  <si>
    <t>Discount-rate premium over WACC (brand risk)</t>
  </si>
  <si>
    <t>Terminal growth</t>
  </si>
  <si>
    <t>Fair value (DCF, from the DCF sheet)</t>
  </si>
  <si>
    <t>Carrying amount (goodwill, trademark, customer relationships)</t>
  </si>
  <si>
    <t>10-K FY25: goodwill 405, trademark 1,140, customers 156</t>
  </si>
  <si>
    <t>Headroom / (shortfall)</t>
  </si>
  <si>
    <t>Verdict</t>
  </si>
  <si>
    <t>Merger model - Deckers acquires Crocs (hypothetical)</t>
  </si>
  <si>
    <t>Acquirer: Deckers Outdoor (NYSE: DECK)</t>
  </si>
  <si>
    <t>Share price (US$)</t>
  </si>
  <si>
    <t>Yahoo Finance, 30-Sep-2026</t>
  </si>
  <si>
    <t>Shares outstanding (m)</t>
  </si>
  <si>
    <t>NTM EPS (consensus)</t>
  </si>
  <si>
    <t xml:space="preserve">   P/E</t>
  </si>
  <si>
    <t>Cash available</t>
  </si>
  <si>
    <t>Cash Deckers keeps</t>
  </si>
  <si>
    <t>Acquirer tax rate</t>
  </si>
  <si>
    <t>Offer for Crocs</t>
  </si>
  <si>
    <t>Offer premium</t>
  </si>
  <si>
    <t>Offer price (US$)</t>
  </si>
  <si>
    <t xml:space="preserve">   offer P/E on NTM EPS</t>
  </si>
  <si>
    <t>Consideration paid in Deckers stock</t>
  </si>
  <si>
    <t>New Deckers shares issued (m)</t>
  </si>
  <si>
    <t>Cash consideration</t>
  </si>
  <si>
    <t xml:space="preserve">   from Deckers' balance sheet</t>
  </si>
  <si>
    <t xml:space="preserve">   from new debt</t>
  </si>
  <si>
    <t>Cost of new debt</t>
  </si>
  <si>
    <t>Interest forgone on cash</t>
  </si>
  <si>
    <t>Run-rate pre-tax cost synergies</t>
  </si>
  <si>
    <t>~2% of combined cost base (sourcing, DCs, SG&amp;A)</t>
  </si>
  <si>
    <t>New finite-lived intangibles (% of purchase premium over book)</t>
  </si>
  <si>
    <t>Amortisation life (years)</t>
  </si>
  <si>
    <t>Pro-forma NTM EPS</t>
  </si>
  <si>
    <t>Deckers standalone net income</t>
  </si>
  <si>
    <t>Crocs net income (NTM, adjusted)</t>
  </si>
  <si>
    <t>After-tax synergies</t>
  </si>
  <si>
    <t>After-tax interest on new debt</t>
  </si>
  <si>
    <t>After-tax interest forgone on cash</t>
  </si>
  <si>
    <t>After-tax amortisation of new intangibles</t>
  </si>
  <si>
    <t>Pro-forma net income</t>
  </si>
  <si>
    <t>Pro-forma shares (m)</t>
  </si>
  <si>
    <t>Pro-forma EPS (US$)</t>
  </si>
  <si>
    <t>ACCRETION / (DILUTION)</t>
  </si>
  <si>
    <t>Pre-tax synergies needed to break even</t>
  </si>
  <si>
    <t>Crocs holders' ownership of combined company</t>
  </si>
  <si>
    <t>Crocs share of combined net income (pre-synergy)</t>
  </si>
  <si>
    <t>Contribution analysis: ownership vs earnings contributed</t>
  </si>
  <si>
    <t>Historical financials - as reported</t>
  </si>
  <si>
    <t>Source</t>
  </si>
  <si>
    <t>10-K income statement</t>
  </si>
  <si>
    <t>SG&amp;A (excl. impairments)</t>
  </si>
  <si>
    <t>of which: amortisation of intangibles</t>
  </si>
  <si>
    <t>Operating lease cost</t>
  </si>
  <si>
    <t>Marketing &amp; advertising</t>
  </si>
  <si>
    <t>Earnings quality (analyst bridge)</t>
  </si>
  <si>
    <t>Acquisition accounting add-backs</t>
  </si>
  <si>
    <t>Q4 earnings releases - non-GAAP reconciliation</t>
  </si>
  <si>
    <t>Earnings releases, analyst adjustments</t>
  </si>
  <si>
    <t>Q4 earnings releases</t>
  </si>
  <si>
    <t>Management non-GAAP net income</t>
  </si>
  <si>
    <t>Q4 earnings releases (non-GAAP net income)</t>
  </si>
  <si>
    <t>10-K balance sheet</t>
  </si>
  <si>
    <t>10-K balance sheet - prepaid + other current assets</t>
  </si>
  <si>
    <t>of which: finite-lived, net</t>
  </si>
  <si>
    <t>10-K intangibles note</t>
  </si>
  <si>
    <t>Shares outstanding at year-end (m)</t>
  </si>
  <si>
    <t>Unamortised debt issuance costs</t>
  </si>
  <si>
    <t>10-K debt note</t>
  </si>
  <si>
    <t>10-K cash flow statement</t>
  </si>
  <si>
    <t>Working capital &amp; other operating</t>
  </si>
  <si>
    <t>Net change in cash (incl. restricted)</t>
  </si>
  <si>
    <t>Cash taxes paid</t>
  </si>
  <si>
    <t>Segments - revenue by brand x region x channel</t>
  </si>
  <si>
    <t>Crocs - North America - Wholesale</t>
  </si>
  <si>
    <t>10-K revenue disaggregation note</t>
  </si>
  <si>
    <t>Crocs - North America - DTC</t>
  </si>
  <si>
    <t>Crocs - International - Wholesale</t>
  </si>
  <si>
    <t>Crocs - International - DTC</t>
  </si>
  <si>
    <t>HEYDUDE - Wholesale</t>
  </si>
  <si>
    <t>HEYDUDE - DTC</t>
  </si>
  <si>
    <t>Segments - brand P&amp;L</t>
  </si>
  <si>
    <t>10-K segment note</t>
  </si>
  <si>
    <t>Crocs brand cost of sales</t>
  </si>
  <si>
    <t>HEYDUDE cost of sales</t>
  </si>
  <si>
    <t>HEYDUDE segment EBIT (incl. impairments)</t>
  </si>
  <si>
    <t>Corporate / unallocated EBIT</t>
  </si>
  <si>
    <t>Units &amp; ASP (footwear)</t>
  </si>
  <si>
    <t>Crocs footwear units (m pairs)</t>
  </si>
  <si>
    <t>10-K MD&amp;A - footwear unit sales (m pairs)</t>
  </si>
  <si>
    <t>10-K MD&amp;A - nominal footwear ASP (US$)</t>
  </si>
  <si>
    <t>HEYDUDE footwear units (m pairs)</t>
  </si>
  <si>
    <t>Debt tranches (face value)</t>
  </si>
  <si>
    <t>4.25% senior notes due 2029</t>
  </si>
  <si>
    <t>10-K debt note (face value)</t>
  </si>
  <si>
    <t>4.125% senior notes due 2031</t>
  </si>
  <si>
    <t>Revolving credit facility</t>
  </si>
  <si>
    <t>Scenario comparison (data table)</t>
  </si>
  <si>
    <t>Scenario</t>
  </si>
  <si>
    <t>Input</t>
  </si>
  <si>
    <t>FY26E revenue</t>
  </si>
  <si>
    <t>FY30E revenue</t>
  </si>
  <si>
    <t>FY25-30 revenue CAGR</t>
  </si>
  <si>
    <t>FY30E mgmt EBIT margin</t>
  </si>
  <si>
    <t>FY26E adj. EPS</t>
  </si>
  <si>
    <t>FY30E adj. EPS</t>
  </si>
  <si>
    <t>FY26-30 cumulative FCF</t>
  </si>
  <si>
    <t>FY30E net debt / EBITDA</t>
  </si>
  <si>
    <t>DCF value / share</t>
  </si>
  <si>
    <t>Upside to DCF value</t>
  </si>
  <si>
    <t>Live model (current selection)</t>
  </si>
  <si>
    <t>Base</t>
  </si>
  <si>
    <t>Bull</t>
  </si>
  <si>
    <t>Bear</t>
  </si>
  <si>
    <t>Crocs, Inc. (NASDAQ: CROX)</t>
  </si>
  <si>
    <t>Valuation model: three statements, DCF, comps, LBO and merger analysis</t>
  </si>
  <si>
    <t>Prepared by Sidhant Thalor | Valuation date 30-Sep-2026 | US$ millions unless stated</t>
  </si>
  <si>
    <t>Rating</t>
  </si>
  <si>
    <t>12-month price target</t>
  </si>
  <si>
    <t>Upside to price target</t>
  </si>
  <si>
    <t>DCF value per share (live scenario)</t>
  </si>
  <si>
    <t>Share price (30-Sep-2026)</t>
  </si>
  <si>
    <t>Basic shares outstanding (m)</t>
  </si>
  <si>
    <t>Net debt FY25A (excl. leases)</t>
  </si>
  <si>
    <t>EV / EBITDA FY26E</t>
  </si>
  <si>
    <t>P / E FY26E (adjusted)</t>
  </si>
  <si>
    <t>FCF yield FY26E</t>
  </si>
  <si>
    <t>Scenario shown</t>
  </si>
  <si>
    <t>Balance sheet check</t>
  </si>
  <si>
    <t>Contents</t>
  </si>
  <si>
    <t>Dashboard</t>
  </si>
  <si>
    <t>Key outputs, FY26E vs guidance, scenario comparison</t>
  </si>
  <si>
    <t>Valuation</t>
  </si>
  <si>
    <t>Terminal value, equity bridge, other methods, SOTP, price target</t>
  </si>
  <si>
    <t>Football_Field</t>
  </si>
  <si>
    <t>Value per share by method</t>
  </si>
  <si>
    <t>Inputs</t>
  </si>
  <si>
    <t>Scenario switch and forecast drivers</t>
  </si>
  <si>
    <t>Rev_Build</t>
  </si>
  <si>
    <t>Revenue by brand, region and channel</t>
  </si>
  <si>
    <t>IS / BS / CF</t>
  </si>
  <si>
    <t>Integrated financial statements</t>
  </si>
  <si>
    <t>NWC / Fixed_Assets / Tax</t>
  </si>
  <si>
    <t>Supporting schedules</t>
  </si>
  <si>
    <t>Debt / Equity</t>
  </si>
  <si>
    <t>Debt schedule, cash sweep, buybacks and share count</t>
  </si>
  <si>
    <t>WACC / DCF / Sensitivity</t>
  </si>
  <si>
    <t>Cost of capital, DCF and sensitivity tables</t>
  </si>
  <si>
    <t>Comps / Precedents</t>
  </si>
  <si>
    <t>Trading comparables and precedent transactions</t>
  </si>
  <si>
    <t>LBO / LBO_CF</t>
  </si>
  <si>
    <t>Leveraged buyout returns</t>
  </si>
  <si>
    <t>HEYDUDE</t>
  </si>
  <si>
    <t>Acquisition returns and impairment test</t>
  </si>
  <si>
    <t>Merger</t>
  </si>
  <si>
    <t>Deckers / Crocs accretion-dilution</t>
  </si>
  <si>
    <t>Hist</t>
  </si>
  <si>
    <t>Historical financials as reported</t>
  </si>
  <si>
    <t>Colour code</t>
  </si>
  <si>
    <t>1,234.5</t>
  </si>
  <si>
    <t>Hard-coded input or historical data</t>
  </si>
  <si>
    <t>Formula</t>
  </si>
  <si>
    <t>Link to another sheet</t>
  </si>
  <si>
    <t>Interest is on average balances (circular; iterative calculation is on). Set Inputs!CircSwitch to 0 to break the loop.</t>
  </si>
  <si>
    <t>Peer betas (5y weekly vs home index; Hamada unlevering)</t>
  </si>
  <si>
    <t>Peer</t>
  </si>
  <si>
    <t>Region</t>
  </si>
  <si>
    <t>Index</t>
  </si>
  <si>
    <t>Levered beta</t>
  </si>
  <si>
    <t>R-squared</t>
  </si>
  <si>
    <t>D/E (market)</t>
  </si>
  <si>
    <t>Unlevered beta</t>
  </si>
  <si>
    <t>Deckers Outdoor</t>
  </si>
  <si>
    <t>US</t>
  </si>
  <si>
    <t>^GSPC</t>
  </si>
  <si>
    <t>Steven Madden</t>
  </si>
  <si>
    <t>Wolverine World Wide</t>
  </si>
  <si>
    <t>Birkenstock</t>
  </si>
  <si>
    <t>Europe</t>
  </si>
  <si>
    <t>On Holding</t>
  </si>
  <si>
    <t>Dr. Martens</t>
  </si>
  <si>
    <t>UK</t>
  </si>
  <si>
    <t>^FTSE</t>
  </si>
  <si>
    <t>Metro Brands</t>
  </si>
  <si>
    <t>India</t>
  </si>
  <si>
    <t>^NSEI</t>
  </si>
  <si>
    <t>Relaxo Footwears</t>
  </si>
  <si>
    <t>Campus Activewear</t>
  </si>
  <si>
    <t>Bata India</t>
  </si>
  <si>
    <t>Table 1 - DCF value per share: WACC vs terminal growth (Gordon)</t>
  </si>
  <si>
    <t>WACC (rows) / terminal growth (columns)</t>
  </si>
  <si>
    <t>Table 2 - value per share: WACC vs exit EV/EBITDA multiple</t>
  </si>
  <si>
    <t>WACC (rows) / exit multiple (columns)</t>
  </si>
  <si>
    <t>Table 3 - DCF value per share: revenue growth shift (rows) vs gross margin shift (columns) - Excel data table re-running the full model</t>
  </si>
  <si>
    <t>Table 4 - value per share by treatment of the $640m uncertain tax positions</t>
  </si>
  <si>
    <t>Value per share</t>
  </si>
  <si>
    <t>Company</t>
  </si>
  <si>
    <t>Basis</t>
  </si>
  <si>
    <t>Mkt cap</t>
  </si>
  <si>
    <t>Debt ex-leases</t>
  </si>
  <si>
    <t>Lease liab.</t>
  </si>
  <si>
    <t>Cash</t>
  </si>
  <si>
    <t>EBITDA reported</t>
  </si>
  <si>
    <t>Rent add-back</t>
  </si>
  <si>
    <t>P/E trailing</t>
  </si>
  <si>
    <t>P/E forward</t>
  </si>
  <si>
    <t>Growth next FY</t>
  </si>
  <si>
    <t>Op. margin</t>
  </si>
  <si>
    <t>EV incl. leases</t>
  </si>
  <si>
    <t>EBITDA pre-rent</t>
  </si>
  <si>
    <t>EV/EBITDA (IFRS 16)</t>
  </si>
  <si>
    <t>Naive EV/EBITDA</t>
  </si>
  <si>
    <t>EV/Sales</t>
  </si>
  <si>
    <t>EBITDA margin</t>
  </si>
  <si>
    <t>Crocs, Inc. (CROX)</t>
  </si>
  <si>
    <t>US GAAP</t>
  </si>
  <si>
    <t>Deckers Outdoor (DECK)</t>
  </si>
  <si>
    <t>Steven Madden (SHOO)</t>
  </si>
  <si>
    <t>Wolverine World Wide (WWW)</t>
  </si>
  <si>
    <t>Birkenstock (BIRK)</t>
  </si>
  <si>
    <t>IFRS</t>
  </si>
  <si>
    <t>On Holding (ONON)</t>
  </si>
  <si>
    <t>Dr. Martens (DOCS.L)</t>
  </si>
  <si>
    <t>Metro Brands (METROBRAND.NS)</t>
  </si>
  <si>
    <t>Ind AS</t>
  </si>
  <si>
    <t>Relaxo Footwears (RELAXO.NS)</t>
  </si>
  <si>
    <t>Campus Activewear (CAMPUS.NS)</t>
  </si>
  <si>
    <t>Bata India (BATAINDIA.NS)</t>
  </si>
  <si>
    <t>Summary statistics (peers only; Crocs excluded)</t>
  </si>
  <si>
    <t>US median</t>
  </si>
  <si>
    <t>Europe median</t>
  </si>
  <si>
    <t>UK median</t>
  </si>
  <si>
    <t>India median</t>
  </si>
  <si>
    <t>Developed markets (US + Europe + UK) median</t>
  </si>
  <si>
    <t>Developed markets 25th percentile</t>
  </si>
  <si>
    <t>Developed markets 75th percentile</t>
  </si>
  <si>
    <t>All peers median</t>
  </si>
  <si>
    <t>Crocs</t>
  </si>
  <si>
    <t>Implied value for Crocs (developed-market multiples)</t>
  </si>
  <si>
    <t>EV/EBITDA (IFRS 16) x Crocs EBITDA pre-rent - bridge incl. leases &amp; UTP</t>
  </si>
  <si>
    <t>Forward P/E x NTM adjusted EPS</t>
  </si>
  <si>
    <t>25th pct</t>
  </si>
  <si>
    <t>Median</t>
  </si>
  <si>
    <t>75th pct</t>
  </si>
  <si>
    <t>Cross-sectional regression: forward P/E = a + b1 x growth + b2 x op. margin + b3 x India (10 peers)</t>
  </si>
  <si>
    <t>Intercept</t>
  </si>
  <si>
    <t>Next-FY revenue growth</t>
  </si>
  <si>
    <t>Operating margin</t>
  </si>
  <si>
    <t>India dummy (turns of P/E)</t>
  </si>
  <si>
    <t>Coefficient</t>
  </si>
  <si>
    <t>Std. error</t>
  </si>
  <si>
    <t>R-squared / observations</t>
  </si>
  <si>
    <t>Crocs fitted forward P/E (India = 0)</t>
  </si>
  <si>
    <t>Crocs actual forward P/E</t>
  </si>
  <si>
    <t>Date</t>
  </si>
  <si>
    <t>Acquirer</t>
  </si>
  <si>
    <t>Target</t>
  </si>
  <si>
    <t>Type</t>
  </si>
  <si>
    <t>EV</t>
  </si>
  <si>
    <t>EV/EBITDA</t>
  </si>
  <si>
    <t>EV/Revenue</t>
  </si>
  <si>
    <t>Premium</t>
  </si>
  <si>
    <t>EBITDA basis</t>
  </si>
  <si>
    <t>2025-05-05</t>
  </si>
  <si>
    <t>3G Capital</t>
  </si>
  <si>
    <t>Skechers</t>
  </si>
  <si>
    <t>Sponsor take-private</t>
  </si>
  <si>
    <t>LTM at signing (approx.)</t>
  </si>
  <si>
    <t>CNBC 5-May-2025; Fashion Dive (Evercore EV est.); Skechers DEFM14C (Greenhill 8.0-11.0x LTM range)</t>
  </si>
  <si>
    <t>2025-02-19</t>
  </si>
  <si>
    <t>Kontoor Brands</t>
  </si>
  <si>
    <t>Helly Hansen</t>
  </si>
  <si>
    <t>Strategic</t>
  </si>
  <si>
    <t>FY2025E (forward)</t>
  </si>
  <si>
    <t>Kontoor 8-K EX-99 19-Feb-2025 (~11x FY25E adj. EBITDA)</t>
  </si>
  <si>
    <t>2021-12-23</t>
  </si>
  <si>
    <t>FY2021E</t>
  </si>
  <si>
    <t>Crocs 8-K 23-Dec-2021; SGB Online; revenue ~$570m, 'less than 15x' EBITDA</t>
  </si>
  <si>
    <t>2020-11-09</t>
  </si>
  <si>
    <t>VF Corp</t>
  </si>
  <si>
    <t>Supreme</t>
  </si>
  <si>
    <t>VF 8-K EX-99.1 9-Nov-2020 (~15x EBITDA; ~$500m revenue)</t>
  </si>
  <si>
    <t>2021-02-26</t>
  </si>
  <si>
    <t>L Catterton / Financiere Agache</t>
  </si>
  <si>
    <t>Sponsor</t>
  </si>
  <si>
    <t>n.a. (EBITDA not disclosed)</t>
  </si>
  <si>
    <t>CNBC 26-Feb-2021 (~EUR4bn EV); FY2020 revenue EUR 728m</t>
  </si>
  <si>
    <t>2021-08-12</t>
  </si>
  <si>
    <t>Authentic Brands Group</t>
  </si>
  <si>
    <t>Reebok</t>
  </si>
  <si>
    <t>Brand management</t>
  </si>
  <si>
    <t>n.m. (loss-making)</t>
  </si>
  <si>
    <t>CNBC 12-Aug-2021; Reebok 2020 revenue EUR 1.4bn</t>
  </si>
  <si>
    <t>Statistics and implied control value for Crocs (x LTM Jun-26 EBITDA)</t>
  </si>
  <si>
    <t>Crocs LTM Jun-26 EBITDA (before impairments)</t>
  </si>
  <si>
    <t>EV/EBITDA 25th percentile</t>
  </si>
  <si>
    <t>EV/EBITDA Median</t>
  </si>
  <si>
    <t>EV/EBITDA 75th percentile</t>
  </si>
  <si>
    <t>Value / share</t>
  </si>
  <si>
    <t>Median take-private premium</t>
  </si>
  <si>
    <t>Precedents are control values: they sit above trading values by the control premium, so they inform the LBO / take-private debate rather than the minority price target.</t>
  </si>
  <si>
    <t>IRR sensitivity: offer premium (rows) vs exit multiple (columns)</t>
  </si>
  <si>
    <t>Premium / exit multiple</t>
  </si>
  <si>
    <t>Year-by-year returns on the price paid</t>
  </si>
  <si>
    <t>Segment EBIT (reported)</t>
  </si>
  <si>
    <t>Add back impairments</t>
  </si>
  <si>
    <t>Segment EBIT excl. impairments</t>
  </si>
  <si>
    <t>NOPAT (18%)</t>
  </si>
  <si>
    <t>ROIC on consideration</t>
  </si>
  <si>
    <t>Economic profit (NOPAT - WACC x paid)</t>
  </si>
  <si>
    <t>Accretion / (dilution): offer premium (rows) vs % stock consideration (columns)</t>
  </si>
  <si>
    <t>Premium / % stock</t>
  </si>
  <si>
    <t>Method</t>
  </si>
  <si>
    <t>Low</t>
  </si>
  <si>
    <t>High</t>
  </si>
  <si>
    <t>Range (chart)</t>
  </si>
  <si>
    <t>52-week trading range</t>
  </si>
  <si>
    <t>Analyst price targets (consensus low-high)</t>
  </si>
  <si>
    <t>Trading comps - EV/EBITDA (IFRS 16), 25th-75th</t>
  </si>
  <si>
    <t>Trading comps - forward P/E, 25th-75th</t>
  </si>
  <si>
    <t>Precedent transactions (control), 25th-75th</t>
  </si>
  <si>
    <t>LBO - price for a 25% to 20% sponsor IRR</t>
  </si>
  <si>
    <t>DCF - Bear to Bull scenario</t>
  </si>
  <si>
    <t>DCF - Base, WACC +/-1%, growth +/-0.5%</t>
  </si>
  <si>
    <t>Current share price</t>
  </si>
  <si>
    <t>Price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</si>
</sst>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\$#,##0.00"/>
    <numFmt numFmtId="165" formatCode="0.0%"/>
    <numFmt numFmtId="166" formatCode="0.0&quot;x&quot;"/>
    <numFmt numFmtId="167" formatCode="#,##0.0_);\(#,##0.0\);&quot;–&quot;_)"/>
    <numFmt numFmtId="168" formatCode="0.0%_);\(0.0%\);&quot;–&quot;_)"/>
    <numFmt numFmtId="169" formatCode="\$#,##0.00_);\(\$#,##0.00\);&quot;–&quot;_)"/>
    <numFmt numFmtId="170" formatCode="0.00&quot;x&quot;_);\(0.00&quot;x&quot;\);&quot;–&quot;_)"/>
    <numFmt numFmtId="171" formatCode="#,##0.00_);\(#,##0.00\);&quot;–&quot;_)"/>
    <numFmt numFmtId="172" formatCode="0.0_);\(0.0\);&quot;–&quot;_)"/>
    <numFmt numFmtId="173" formatCode="#,##0.000_);\(#,##0.000\);&quot;OK&quot;_)"/>
    <numFmt numFmtId="174" formatCode="#,##0_);\(#,##0\);&quot;–&quot;_)"/>
    <numFmt numFmtId="175" formatCode="0.0%;\(0.0%\)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1" xfId="0" applyFont="1" applyBorder="1" applyAlignment="1">
      <alignment horizontal="right"/>
    </xf>
    <xf numFmtId="1" fontId="4" fillId="0" borderId="0" xfId="0" applyNumberFormat="1" applyFont="1"/>
    <xf numFmtId="0" fontId="0" fillId="0" borderId="1" xfId="0" applyBorder="1"/>
    <xf numFmtId="167" fontId="5" fillId="0" borderId="0" xfId="0" applyNumberFormat="1" applyFont="1"/>
    <xf numFmtId="0" fontId="2" fillId="0" borderId="0" xfId="0" applyFont="1" applyAlignment="1">
      <alignment horizontal="left" indent="1"/>
    </xf>
    <xf numFmtId="168" fontId="2" fillId="0" borderId="0" xfId="0" applyNumberFormat="1" applyFont="1"/>
    <xf numFmtId="168" fontId="5" fillId="0" borderId="0" xfId="0" applyNumberFormat="1" applyFont="1"/>
    <xf numFmtId="169" fontId="5" fillId="0" borderId="0" xfId="0" applyNumberFormat="1" applyFont="1"/>
    <xf numFmtId="167" fontId="0" fillId="0" borderId="0" xfId="0" applyNumberFormat="1"/>
    <xf numFmtId="170" fontId="5" fillId="0" borderId="0" xfId="0" applyNumberFormat="1" applyFont="1"/>
    <xf numFmtId="171" fontId="5" fillId="0" borderId="0" xfId="0" applyNumberFormat="1" applyFont="1"/>
    <xf numFmtId="168" fontId="0" fillId="0" borderId="0" xfId="0" applyNumberFormat="1"/>
    <xf numFmtId="49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69" fontId="0" fillId="0" borderId="0" xfId="0" applyNumberFormat="1"/>
    <xf numFmtId="171" fontId="2" fillId="0" borderId="0" xfId="0" applyNumberFormat="1" applyFont="1"/>
    <xf numFmtId="17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170" fontId="0" fillId="0" borderId="0" xfId="0" applyNumberFormat="1"/>
    <xf numFmtId="168" fontId="4" fillId="0" borderId="0" xfId="0" applyNumberFormat="1" applyFont="1"/>
    <xf numFmtId="170" fontId="4" fillId="0" borderId="0" xfId="0" applyNumberFormat="1" applyFont="1"/>
    <xf numFmtId="171" fontId="4" fillId="0" borderId="0" xfId="0" applyNumberFormat="1" applyFont="1"/>
    <xf numFmtId="167" fontId="4" fillId="0" borderId="0" xfId="0" applyNumberFormat="1" applyFont="1"/>
    <xf numFmtId="169" fontId="4" fillId="0" borderId="0" xfId="0" applyNumberFormat="1" applyFont="1"/>
    <xf numFmtId="1" fontId="0" fillId="0" borderId="0" xfId="0" applyNumberFormat="1"/>
    <xf numFmtId="168" fontId="1" fillId="0" borderId="0" xfId="0" applyNumberFormat="1" applyFont="1"/>
    <xf numFmtId="172" fontId="1" fillId="0" borderId="0" xfId="0" applyNumberFormat="1" applyFont="1"/>
    <xf numFmtId="172" fontId="4" fillId="0" borderId="0" xfId="0" applyNumberFormat="1" applyFont="1"/>
    <xf numFmtId="167" fontId="1" fillId="0" borderId="0" xfId="0" applyNumberFormat="1" applyFont="1"/>
    <xf numFmtId="167" fontId="1" fillId="0" borderId="2" xfId="0" applyNumberFormat="1" applyFont="1" applyBorder="1"/>
    <xf numFmtId="169" fontId="1" fillId="0" borderId="0" xfId="0" applyNumberFormat="1" applyFont="1"/>
    <xf numFmtId="167" fontId="2" fillId="0" borderId="0" xfId="0" applyNumberFormat="1" applyFont="1"/>
    <xf numFmtId="173" fontId="0" fillId="0" borderId="0" xfId="0" applyNumberFormat="1"/>
    <xf numFmtId="170" fontId="2" fillId="0" borderId="0" xfId="0" applyNumberFormat="1" applyFont="1"/>
    <xf numFmtId="172" fontId="2" fillId="0" borderId="0" xfId="0" applyNumberFormat="1" applyFont="1"/>
    <xf numFmtId="172" fontId="0" fillId="0" borderId="0" xfId="0" applyNumberFormat="1"/>
    <xf numFmtId="171" fontId="1" fillId="0" borderId="0" xfId="0" applyNumberFormat="1" applyFont="1"/>
    <xf numFmtId="165" fontId="1" fillId="0" borderId="3" xfId="0" applyNumberFormat="1" applyFont="1" applyBorder="1" applyAlignment="1">
      <alignment horizontal="center"/>
    </xf>
    <xf numFmtId="164" fontId="0" fillId="0" borderId="3" xfId="0" applyNumberFormat="1" applyBorder="1"/>
    <xf numFmtId="164" fontId="1" fillId="0" borderId="3" xfId="0" applyNumberFormat="1" applyFont="1" applyBorder="1"/>
    <xf numFmtId="166" fontId="1" fillId="0" borderId="3" xfId="0" applyNumberFormat="1" applyFont="1" applyBorder="1" applyAlignment="1">
      <alignment horizontal="center"/>
    </xf>
    <xf numFmtId="174" fontId="4" fillId="0" borderId="0" xfId="0" applyNumberFormat="1" applyFont="1"/>
    <xf numFmtId="174" fontId="0" fillId="0" borderId="0" xfId="0" applyNumberFormat="1"/>
    <xf numFmtId="165" fontId="0" fillId="0" borderId="3" xfId="0" applyNumberFormat="1" applyBorder="1"/>
    <xf numFmtId="165" fontId="1" fillId="0" borderId="3" xfId="0" applyNumberFormat="1" applyFont="1" applyBorder="1"/>
    <xf numFmtId="175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Football_Field!$B$18</c:f>
          <c:strCache>
            <c:ptCount val="1"/>
            <c:pt idx="0">
              <c:v>Value per share by method (US$)  |  price $118.54  |  price target $190</c:v>
            </c:pt>
          </c:strCache>
        </c:strRef>
      </c:tx>
      <c:overlay val="0"/>
      <c:txPr>
        <a:bodyPr/>
        <a:lstStyle/>
        <a:p>
          <a:pPr>
            <a:defRPr sz="1000" b="1" baseline="0">
              <a:latin typeface="Arial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Low</c:v>
          </c:tx>
          <c:spPr>
            <a:noFill/>
            <a:ln>
              <a:noFill/>
            </a:ln>
          </c:spPr>
          <c:invertIfNegative val="0"/>
          <c:cat>
            <c:strRef>
              <c:f>Football_Field!$B$6:$B$13</c:f>
              <c:strCache>
                <c:ptCount val="8"/>
                <c:pt idx="0">
                  <c:v>52-week trading range</c:v>
                </c:pt>
                <c:pt idx="1">
                  <c:v>Analyst price targets (consensus low-high)</c:v>
                </c:pt>
                <c:pt idx="2">
                  <c:v>Trading comps - EV/EBITDA (IFRS 16), 25th-75th</c:v>
                </c:pt>
                <c:pt idx="3">
                  <c:v>Trading comps - forward P/E, 25th-75th</c:v>
                </c:pt>
                <c:pt idx="4">
                  <c:v>Precedent transactions (control), 25th-75th</c:v>
                </c:pt>
                <c:pt idx="5">
                  <c:v>LBO - price for a 25% to 20% sponsor IRR</c:v>
                </c:pt>
                <c:pt idx="6">
                  <c:v>DCF - Bear to Bull scenario</c:v>
                </c:pt>
                <c:pt idx="7">
                  <c:v>DCF - Base, WACC +/-1%, growth +/-0.5%</c:v>
                </c:pt>
              </c:strCache>
            </c:strRef>
          </c:cat>
          <c:val>
            <c:numRef>
              <c:f>Football_Field!$C$6:$C$13</c:f>
              <c:numCache>
                <c:formatCode>\$#,##0.00_);\(\$#,##0.00\);"–"_)</c:formatCode>
                <c:ptCount val="8"/>
                <c:pt idx="0">
                  <c:v>73.39</c:v>
                </c:pt>
                <c:pt idx="1">
                  <c:v>95</c:v>
                </c:pt>
                <c:pt idx="2">
                  <c:v>144.05875911911704</c:v>
                </c:pt>
                <c:pt idx="3">
                  <c:v>173.61888207517038</c:v>
                </c:pt>
                <c:pt idx="4">
                  <c:v>163.60386363274111</c:v>
                </c:pt>
                <c:pt idx="5">
                  <c:v>135.47042675431967</c:v>
                </c:pt>
                <c:pt idx="6">
                  <c:v>113.57526125324635</c:v>
                </c:pt>
                <c:pt idx="7">
                  <c:v>184.78568447324619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4-44E5-935A-E33068ECE96E}"/>
            </c:ext>
          </c:extLst>
        </c:ser>
        <c:ser>
          <c:idx val="1"/>
          <c:order val="1"/>
          <c:tx>
            <c:v>Range</c:v>
          </c:tx>
          <c:spPr>
            <a:solidFill>
              <a:srgbClr val="4472C4"/>
            </a:solidFill>
          </c:spPr>
          <c:invertIfNegative val="0"/>
          <c:cat>
            <c:strRef>
              <c:f>Football_Field!$B$6:$B$13</c:f>
              <c:strCache>
                <c:ptCount val="8"/>
                <c:pt idx="0">
                  <c:v>52-week trading range</c:v>
                </c:pt>
                <c:pt idx="1">
                  <c:v>Analyst price targets (consensus low-high)</c:v>
                </c:pt>
                <c:pt idx="2">
                  <c:v>Trading comps - EV/EBITDA (IFRS 16), 25th-75th</c:v>
                </c:pt>
                <c:pt idx="3">
                  <c:v>Trading comps - forward P/E, 25th-75th</c:v>
                </c:pt>
                <c:pt idx="4">
                  <c:v>Precedent transactions (control), 25th-75th</c:v>
                </c:pt>
                <c:pt idx="5">
                  <c:v>LBO - price for a 25% to 20% sponsor IRR</c:v>
                </c:pt>
                <c:pt idx="6">
                  <c:v>DCF - Bear to Bull scenario</c:v>
                </c:pt>
                <c:pt idx="7">
                  <c:v>DCF - Base, WACC +/-1%, growth +/-0.5%</c:v>
                </c:pt>
              </c:strCache>
            </c:strRef>
          </c:cat>
          <c:val>
            <c:numRef>
              <c:f>Football_Field!$E$6:$E$13</c:f>
              <c:numCache>
                <c:formatCode>\$#,##0.00_);\(\$#,##0.00\);"–"_)</c:formatCode>
                <c:ptCount val="8"/>
                <c:pt idx="0">
                  <c:v>67.8</c:v>
                </c:pt>
                <c:pt idx="1">
                  <c:v>68</c:v>
                </c:pt>
                <c:pt idx="2">
                  <c:v>35.639936206535424</c:v>
                </c:pt>
                <c:pt idx="3">
                  <c:v>51.571105595018849</c:v>
                </c:pt>
                <c:pt idx="4">
                  <c:v>49.829664939599098</c:v>
                </c:pt>
                <c:pt idx="5">
                  <c:v>14.164414919292142</c:v>
                </c:pt>
                <c:pt idx="6">
                  <c:v>193.0663372373391</c:v>
                </c:pt>
                <c:pt idx="7">
                  <c:v>96.31188509590919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F4-44E5-935A-E33068ECE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t"/>
        <c:majorGridlines/>
        <c:numFmt formatCode="\$#,##0" sourceLinked="0"/>
        <c:majorTickMark val="out"/>
        <c:minorTickMark val="none"/>
        <c:tickLblPos val="nextTo"/>
        <c:txPr>
          <a:bodyPr/>
          <a:lstStyle/>
          <a:p>
            <a:pPr>
              <a:defRPr sz="10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19</xdr:row>
      <xdr:rowOff>0</xdr:rowOff>
    </xdr:from>
    <xdr:to>
      <xdr:col>8</xdr:col>
      <xdr:colOff>257175</xdr:colOff>
      <xdr:row>40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D44"/>
  <sheetViews>
    <sheetView showGridLines="0" tabSelected="1" zoomScale="90" zoomScaleNormal="90" workbookViewId="0"/>
  </sheetViews>
  <sheetFormatPr defaultRowHeight="12.75" x14ac:dyDescent="0.2"/>
  <cols>
    <col min="1" max="1" width="2.7109375" customWidth="1"/>
    <col min="2" max="2" width="34.7109375" customWidth="1"/>
    <col min="3" max="3" width="16.7109375" customWidth="1"/>
    <col min="4" max="4" width="60.7109375" customWidth="1"/>
    <col min="5" max="19" width="11.28515625" customWidth="1"/>
  </cols>
  <sheetData>
    <row r="2" spans="2:3" x14ac:dyDescent="0.2">
      <c r="B2" s="1" t="s">
        <v>752</v>
      </c>
    </row>
    <row r="3" spans="2:3" x14ac:dyDescent="0.2">
      <c r="B3" t="s">
        <v>753</v>
      </c>
    </row>
    <row r="4" spans="2:3" x14ac:dyDescent="0.2">
      <c r="B4" s="2" t="s">
        <v>754</v>
      </c>
    </row>
    <row r="6" spans="2:3" x14ac:dyDescent="0.2">
      <c r="B6" s="3" t="s">
        <v>390</v>
      </c>
      <c r="C6" s="3"/>
    </row>
    <row r="7" spans="2:3" x14ac:dyDescent="0.2">
      <c r="B7" t="s">
        <v>755</v>
      </c>
      <c r="C7" s="4" t="str">
        <f ca="1">Rating</f>
        <v>BUY</v>
      </c>
    </row>
    <row r="8" spans="2:3" x14ac:dyDescent="0.2">
      <c r="B8" t="s">
        <v>756</v>
      </c>
      <c r="C8" s="5">
        <f ca="1">PriceTarget</f>
        <v>190</v>
      </c>
    </row>
    <row r="9" spans="2:3" x14ac:dyDescent="0.2">
      <c r="B9" t="s">
        <v>757</v>
      </c>
      <c r="C9" s="6">
        <f ca="1">PT_Upside</f>
        <v>0.60283448624936731</v>
      </c>
    </row>
    <row r="10" spans="2:3" x14ac:dyDescent="0.2">
      <c r="B10" t="s">
        <v>758</v>
      </c>
      <c r="C10" s="5">
        <f ca="1">ValuePerShare</f>
        <v>222.98831860580984</v>
      </c>
    </row>
    <row r="11" spans="2:3" x14ac:dyDescent="0.2">
      <c r="B11" t="s">
        <v>127</v>
      </c>
      <c r="C11" s="5">
        <f>DCF_PW</f>
        <v>206.89505737699434</v>
      </c>
    </row>
    <row r="12" spans="2:3" x14ac:dyDescent="0.2">
      <c r="B12" t="s">
        <v>759</v>
      </c>
      <c r="C12" s="5">
        <f>SharePrice</f>
        <v>118.54</v>
      </c>
    </row>
    <row r="13" spans="2:3" x14ac:dyDescent="0.2">
      <c r="B13" t="s">
        <v>760</v>
      </c>
      <c r="C13" s="7">
        <f>SharesOut</f>
        <v>47.945</v>
      </c>
    </row>
    <row r="14" spans="2:3" x14ac:dyDescent="0.2">
      <c r="B14" t="s">
        <v>488</v>
      </c>
      <c r="C14" s="8">
        <f>SharePrice*SharesOut</f>
        <v>5683.4003000000002</v>
      </c>
    </row>
    <row r="15" spans="2:3" x14ac:dyDescent="0.2">
      <c r="B15" t="s">
        <v>761</v>
      </c>
      <c r="C15" s="8">
        <f>Debt!$I$54</f>
        <v>1100.5309999999999</v>
      </c>
    </row>
    <row r="16" spans="2:3" x14ac:dyDescent="0.2">
      <c r="B16" t="s">
        <v>81</v>
      </c>
      <c r="C16" s="8">
        <f>SharePrice*SharesOut+Debt!$I$54</f>
        <v>6783.9313000000002</v>
      </c>
    </row>
    <row r="17" spans="2:4" x14ac:dyDescent="0.2">
      <c r="B17" t="s">
        <v>762</v>
      </c>
      <c r="C17" s="9">
        <f>(SharePrice*SharesOut+Debt!$I$54)/IS!$J$33</f>
        <v>6.9935135349181712</v>
      </c>
    </row>
    <row r="18" spans="2:4" x14ac:dyDescent="0.2">
      <c r="B18" t="s">
        <v>763</v>
      </c>
      <c r="C18" s="9">
        <f ca="1">SharePrice/IS!$J$39</f>
        <v>8.206461714384762</v>
      </c>
    </row>
    <row r="19" spans="2:4" x14ac:dyDescent="0.2">
      <c r="B19" t="s">
        <v>764</v>
      </c>
      <c r="C19" s="6">
        <f ca="1">CF!$J$37/(SharePrice*SharesOut)</f>
        <v>0.12802829622658585</v>
      </c>
    </row>
    <row r="20" spans="2:4" x14ac:dyDescent="0.2">
      <c r="B20" t="s">
        <v>765</v>
      </c>
      <c r="C20" s="4" t="str">
        <f>CHOOSE(Scenario,"Base","Bull","Bear")</f>
        <v>Base</v>
      </c>
    </row>
    <row r="21" spans="2:4" x14ac:dyDescent="0.2">
      <c r="B21" t="s">
        <v>766</v>
      </c>
      <c r="C21" s="4" t="str">
        <f ca="1">IF(MasterCheck=0,"OK","Error")</f>
        <v>OK</v>
      </c>
    </row>
    <row r="23" spans="2:4" x14ac:dyDescent="0.2">
      <c r="B23" s="3" t="s">
        <v>767</v>
      </c>
      <c r="C23" s="3"/>
      <c r="D23" s="3"/>
    </row>
    <row r="24" spans="2:4" x14ac:dyDescent="0.2">
      <c r="B24" s="10" t="s">
        <v>768</v>
      </c>
      <c r="D24" t="s">
        <v>769</v>
      </c>
    </row>
    <row r="25" spans="2:4" x14ac:dyDescent="0.2">
      <c r="B25" s="10" t="s">
        <v>770</v>
      </c>
      <c r="D25" t="s">
        <v>771</v>
      </c>
    </row>
    <row r="26" spans="2:4" x14ac:dyDescent="0.2">
      <c r="B26" s="10" t="s">
        <v>772</v>
      </c>
      <c r="D26" t="s">
        <v>773</v>
      </c>
    </row>
    <row r="27" spans="2:4" x14ac:dyDescent="0.2">
      <c r="B27" s="10" t="s">
        <v>774</v>
      </c>
      <c r="D27" t="s">
        <v>775</v>
      </c>
    </row>
    <row r="28" spans="2:4" x14ac:dyDescent="0.2">
      <c r="B28" s="10" t="s">
        <v>776</v>
      </c>
      <c r="D28" t="s">
        <v>777</v>
      </c>
    </row>
    <row r="29" spans="2:4" x14ac:dyDescent="0.2">
      <c r="B29" s="10" t="s">
        <v>778</v>
      </c>
      <c r="D29" t="s">
        <v>779</v>
      </c>
    </row>
    <row r="30" spans="2:4" x14ac:dyDescent="0.2">
      <c r="B30" s="10" t="s">
        <v>780</v>
      </c>
      <c r="D30" t="s">
        <v>781</v>
      </c>
    </row>
    <row r="31" spans="2:4" x14ac:dyDescent="0.2">
      <c r="B31" s="10" t="s">
        <v>782</v>
      </c>
      <c r="D31" t="s">
        <v>783</v>
      </c>
    </row>
    <row r="32" spans="2:4" x14ac:dyDescent="0.2">
      <c r="B32" s="10" t="s">
        <v>784</v>
      </c>
      <c r="D32" t="s">
        <v>785</v>
      </c>
    </row>
    <row r="33" spans="2:4" x14ac:dyDescent="0.2">
      <c r="B33" s="10" t="s">
        <v>786</v>
      </c>
      <c r="D33" t="s">
        <v>787</v>
      </c>
    </row>
    <row r="34" spans="2:4" x14ac:dyDescent="0.2">
      <c r="B34" s="10" t="s">
        <v>788</v>
      </c>
      <c r="D34" t="s">
        <v>789</v>
      </c>
    </row>
    <row r="35" spans="2:4" x14ac:dyDescent="0.2">
      <c r="B35" s="10" t="s">
        <v>790</v>
      </c>
      <c r="D35" t="s">
        <v>791</v>
      </c>
    </row>
    <row r="36" spans="2:4" x14ac:dyDescent="0.2">
      <c r="B36" s="10" t="s">
        <v>792</v>
      </c>
      <c r="D36" t="s">
        <v>793</v>
      </c>
    </row>
    <row r="37" spans="2:4" x14ac:dyDescent="0.2">
      <c r="B37" s="10" t="s">
        <v>794</v>
      </c>
      <c r="D37" t="s">
        <v>795</v>
      </c>
    </row>
    <row r="39" spans="2:4" x14ac:dyDescent="0.2">
      <c r="B39" s="3" t="s">
        <v>796</v>
      </c>
      <c r="C39" s="3"/>
      <c r="D39" s="3"/>
    </row>
    <row r="40" spans="2:4" x14ac:dyDescent="0.2">
      <c r="C40" s="11" t="s">
        <v>797</v>
      </c>
      <c r="D40" t="s">
        <v>798</v>
      </c>
    </row>
    <row r="41" spans="2:4" x14ac:dyDescent="0.2">
      <c r="C41" t="s">
        <v>797</v>
      </c>
      <c r="D41" t="s">
        <v>799</v>
      </c>
    </row>
    <row r="42" spans="2:4" x14ac:dyDescent="0.2">
      <c r="C42" s="12" t="s">
        <v>797</v>
      </c>
      <c r="D42" t="s">
        <v>800</v>
      </c>
    </row>
    <row r="44" spans="2:4" x14ac:dyDescent="0.2">
      <c r="B44" s="2" t="s">
        <v>801</v>
      </c>
    </row>
  </sheetData>
  <hyperlinks>
    <hyperlink ref="B24" location="'Dashboard'!A1" display="Dashboard" xr:uid="{00000000-0004-0000-0000-000000000000}"/>
    <hyperlink ref="B25" location="'Valuation'!A1" display="Valuation" xr:uid="{00000000-0004-0000-0000-000001000000}"/>
    <hyperlink ref="B26" location="'Football_Field'!A1" display="Football_Field" xr:uid="{00000000-0004-0000-0000-000002000000}"/>
    <hyperlink ref="B27" location="'Inputs'!A1" display="Inputs" xr:uid="{00000000-0004-0000-0000-000003000000}"/>
    <hyperlink ref="B28" location="'Rev_Build'!A1" display="Rev_Build" xr:uid="{00000000-0004-0000-0000-000004000000}"/>
    <hyperlink ref="B29" location="'IS'!A1" display="IS / BS / CF" xr:uid="{00000000-0004-0000-0000-000005000000}"/>
    <hyperlink ref="B30" location="'NWC'!A1" display="NWC / Fixed_Assets / Tax" xr:uid="{00000000-0004-0000-0000-000006000000}"/>
    <hyperlink ref="B31" location="'Debt'!A1" display="Debt / Equity" xr:uid="{00000000-0004-0000-0000-000007000000}"/>
    <hyperlink ref="B32" location="'WACC'!A1" display="WACC / DCF / Sensitivity" xr:uid="{00000000-0004-0000-0000-000008000000}"/>
    <hyperlink ref="B33" location="'Comps'!A1" display="Comps / Precedents" xr:uid="{00000000-0004-0000-0000-000009000000}"/>
    <hyperlink ref="B34" location="'LBO'!A1" display="LBO / LBO_CF" xr:uid="{00000000-0004-0000-0000-00000A000000}"/>
    <hyperlink ref="B35" location="'HEYDUDE'!A1" display="HEYDUDE" xr:uid="{00000000-0004-0000-0000-00000B000000}"/>
    <hyperlink ref="B36" location="'Merger'!A1" display="Merger" xr:uid="{00000000-0004-0000-0000-00000C000000}"/>
    <hyperlink ref="B37" location="'Hist'!A1" display="Hist" xr:uid="{00000000-0004-0000-0000-00000D000000}"/>
  </hyperlinks>
  <pageMargins left="0.4" right="0.4" top="0.5" bottom="0.5" header="0.3" footer="0.3"/>
  <pageSetup paperSize="9" orientation="portrait"/>
  <headerFooter>
    <oddFooter>&amp;LCrocs, Inc. (CROX) valuation model&amp;C&amp;A&amp;RPage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S44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0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t="s">
        <v>19</v>
      </c>
      <c r="E6" s="14">
        <v>0</v>
      </c>
    </row>
    <row r="7" spans="2:19" x14ac:dyDescent="0.2">
      <c r="B7" s="3" t="s">
        <v>20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2:19" x14ac:dyDescent="0.2">
      <c r="B8" t="s">
        <v>21</v>
      </c>
      <c r="E8" s="16">
        <f>IS!E7</f>
        <v>2313.4160000000002</v>
      </c>
      <c r="F8" s="16">
        <f>IS!F7</f>
        <v>3554.9850000000001</v>
      </c>
      <c r="G8" s="16">
        <f>IS!G7</f>
        <v>3962.3469999999998</v>
      </c>
      <c r="H8" s="16">
        <f>IS!H7</f>
        <v>4102.1080000000002</v>
      </c>
      <c r="I8" s="16">
        <f>IS!I7</f>
        <v>4040.6469999999999</v>
      </c>
      <c r="J8" s="16">
        <f>IS!J7</f>
        <v>4104.0259900000001</v>
      </c>
      <c r="K8" s="16">
        <f>IS!K7</f>
        <v>4247.9569262000005</v>
      </c>
      <c r="L8" s="16">
        <f>IS!L7</f>
        <v>4423.3961124059997</v>
      </c>
      <c r="M8" s="16">
        <f>IS!M7</f>
        <v>4606.19088623072</v>
      </c>
      <c r="N8" s="16">
        <f>IS!N7</f>
        <v>4785.3260332169966</v>
      </c>
      <c r="O8" s="16">
        <f>IS!O7</f>
        <v>4962.4389111312412</v>
      </c>
      <c r="P8" s="16">
        <f>IS!P7</f>
        <v>5136.2185387352838</v>
      </c>
      <c r="Q8" s="16">
        <f>IS!Q7</f>
        <v>5305.3519661997761</v>
      </c>
      <c r="R8" s="16">
        <f>IS!R7</f>
        <v>5468.5556722364408</v>
      </c>
      <c r="S8" s="16">
        <f>IS!S7</f>
        <v>5624.6101420087662</v>
      </c>
    </row>
    <row r="9" spans="2:19" x14ac:dyDescent="0.2">
      <c r="B9" s="17" t="s">
        <v>22</v>
      </c>
      <c r="E9" s="18">
        <f>IS!E8</f>
        <v>0</v>
      </c>
      <c r="F9" s="18">
        <f>IS!F8</f>
        <v>0.53668211856406289</v>
      </c>
      <c r="G9" s="18">
        <f>IS!G8</f>
        <v>0.11458895044564166</v>
      </c>
      <c r="H9" s="18">
        <f>IS!H8</f>
        <v>3.5272276759203747E-2</v>
      </c>
      <c r="I9" s="18">
        <f>IS!I8</f>
        <v>-1.4982784461062493E-2</v>
      </c>
      <c r="J9" s="18">
        <f>IS!J8</f>
        <v>1.5685356825280827E-2</v>
      </c>
      <c r="K9" s="18">
        <f>IS!K8</f>
        <v>3.5070668789795034E-2</v>
      </c>
      <c r="L9" s="18">
        <f>IS!L8</f>
        <v>4.1299662226786715E-2</v>
      </c>
      <c r="M9" s="18">
        <f>IS!M8</f>
        <v>4.1324531916110407E-2</v>
      </c>
      <c r="N9" s="18">
        <f>IS!N8</f>
        <v>3.8890083240311402E-2</v>
      </c>
      <c r="O9" s="18">
        <f>IS!O8</f>
        <v>3.7011663716291832E-2</v>
      </c>
      <c r="P9" s="18">
        <f>IS!P8</f>
        <v>3.501899584380519E-2</v>
      </c>
      <c r="Q9" s="18">
        <f>IS!Q8</f>
        <v>3.2929562126096545E-2</v>
      </c>
      <c r="R9" s="18">
        <f>IS!R8</f>
        <v>3.0762088373482044E-2</v>
      </c>
      <c r="S9" s="18">
        <f>IS!S8</f>
        <v>2.8536688501610286E-2</v>
      </c>
    </row>
    <row r="10" spans="2:19" x14ac:dyDescent="0.2">
      <c r="B10" t="s">
        <v>23</v>
      </c>
      <c r="E10" s="16">
        <f>Rev_Build!E17</f>
        <v>2313.4160000000002</v>
      </c>
      <c r="F10" s="16">
        <f>Rev_Build!F17</f>
        <v>2659.125</v>
      </c>
      <c r="G10" s="16">
        <f>Rev_Build!G17</f>
        <v>3012.9539999999997</v>
      </c>
      <c r="H10" s="16">
        <f>Rev_Build!H17</f>
        <v>3277.9670000000001</v>
      </c>
      <c r="I10" s="16">
        <f>Rev_Build!I17</f>
        <v>3325.8070000000002</v>
      </c>
      <c r="J10" s="16">
        <f>Rev_Build!J17</f>
        <v>3409.3535400000001</v>
      </c>
      <c r="K10" s="16">
        <f>Rev_Build!K17</f>
        <v>3554.0852032000003</v>
      </c>
      <c r="L10" s="16">
        <f>Rev_Build!L17</f>
        <v>3722.144421466</v>
      </c>
      <c r="M10" s="16">
        <f>Rev_Build!M17</f>
        <v>3889.4812909699804</v>
      </c>
      <c r="N10" s="16">
        <f>Rev_Build!N17</f>
        <v>4050.4190657761797</v>
      </c>
      <c r="O10" s="16">
        <f>Rev_Build!O17</f>
        <v>4208.9199604944461</v>
      </c>
      <c r="P10" s="16">
        <f>Rev_Build!P17</f>
        <v>4363.6714326613819</v>
      </c>
      <c r="Q10" s="16">
        <f>Rev_Build!Q17</f>
        <v>4513.3579409224822</v>
      </c>
      <c r="R10" s="16">
        <f>Rev_Build!R17</f>
        <v>4656.6926952972863</v>
      </c>
      <c r="S10" s="16">
        <f>Rev_Build!S17</f>
        <v>4792.4505906461327</v>
      </c>
    </row>
    <row r="11" spans="2:19" x14ac:dyDescent="0.2">
      <c r="B11" t="s">
        <v>24</v>
      </c>
      <c r="E11" s="16">
        <f>Rev_Build!E24</f>
        <v>0</v>
      </c>
      <c r="F11" s="16">
        <f>Rev_Build!F24</f>
        <v>895.86</v>
      </c>
      <c r="G11" s="16">
        <f>Rev_Build!G24</f>
        <v>949.39300000000003</v>
      </c>
      <c r="H11" s="16">
        <f>Rev_Build!H24</f>
        <v>824.14099999999996</v>
      </c>
      <c r="I11" s="16">
        <f>Rev_Build!I24</f>
        <v>714.83999999999992</v>
      </c>
      <c r="J11" s="16">
        <f>Rev_Build!J24</f>
        <v>694.67245000000003</v>
      </c>
      <c r="K11" s="16">
        <f>Rev_Build!K24</f>
        <v>693.87172299999997</v>
      </c>
      <c r="L11" s="16">
        <f>Rev_Build!L24</f>
        <v>701.25169093999989</v>
      </c>
      <c r="M11" s="16">
        <f>Rev_Build!M24</f>
        <v>716.70959526073977</v>
      </c>
      <c r="N11" s="16">
        <f>Rev_Build!N24</f>
        <v>734.9069674408172</v>
      </c>
      <c r="O11" s="16">
        <f>Rev_Build!O24</f>
        <v>753.51895063679513</v>
      </c>
      <c r="P11" s="16">
        <f>Rev_Build!P24</f>
        <v>772.54710607390234</v>
      </c>
      <c r="Q11" s="16">
        <f>Rev_Build!Q24</f>
        <v>791.99402527729421</v>
      </c>
      <c r="R11" s="16">
        <f>Rev_Build!R24</f>
        <v>811.86297693915458</v>
      </c>
      <c r="S11" s="16">
        <f>Rev_Build!S24</f>
        <v>832.15955136263335</v>
      </c>
    </row>
    <row r="12" spans="2:19" x14ac:dyDescent="0.2">
      <c r="B12" t="s">
        <v>25</v>
      </c>
      <c r="E12" s="19">
        <f>IS!E11</f>
        <v>0.61390601603862005</v>
      </c>
      <c r="F12" s="19">
        <f>IS!F11</f>
        <v>0.52328828391680982</v>
      </c>
      <c r="G12" s="19">
        <f>IS!G11</f>
        <v>0.55775276622668335</v>
      </c>
      <c r="H12" s="19">
        <f>IS!H11</f>
        <v>0.58756571011782244</v>
      </c>
      <c r="I12" s="19">
        <f>IS!I11</f>
        <v>0.58333603504587261</v>
      </c>
      <c r="J12" s="19">
        <f>IS!J11</f>
        <v>0.57783944209378657</v>
      </c>
      <c r="K12" s="19">
        <f>IS!K11</f>
        <v>0.58059835767879908</v>
      </c>
      <c r="L12" s="19">
        <f>IS!L11</f>
        <v>0.58304948857610739</v>
      </c>
      <c r="M12" s="19">
        <f>IS!M11</f>
        <v>0.58354850586879847</v>
      </c>
      <c r="N12" s="19">
        <f>IS!N11</f>
        <v>0.5838922314597339</v>
      </c>
      <c r="O12" s="19">
        <f>IS!O11</f>
        <v>0.58418643858347186</v>
      </c>
      <c r="P12" s="19">
        <f>IS!P11</f>
        <v>0.58443001947014073</v>
      </c>
      <c r="Q12" s="19">
        <f>IS!Q11</f>
        <v>0.58462204484171443</v>
      </c>
      <c r="R12" s="19">
        <f>IS!R11</f>
        <v>0.58476176263865065</v>
      </c>
      <c r="S12" s="19">
        <f>IS!S11</f>
        <v>0.58484854591519753</v>
      </c>
    </row>
    <row r="13" spans="2:19" x14ac:dyDescent="0.2">
      <c r="B13" t="s">
        <v>26</v>
      </c>
      <c r="E13" s="19">
        <f>IS!E38</f>
        <v>0.30053479356933638</v>
      </c>
      <c r="F13" s="19">
        <f>IS!F38</f>
        <v>0.27745039711841257</v>
      </c>
      <c r="G13" s="19">
        <f>IS!G38</f>
        <v>0.27726925481286724</v>
      </c>
      <c r="H13" s="19">
        <f>IS!H38</f>
        <v>0.25602885150756638</v>
      </c>
      <c r="I13" s="19">
        <f>IS!I38</f>
        <v>0.22290167886479567</v>
      </c>
      <c r="J13" s="19">
        <f>IS!J38</f>
        <v>0.22352980691040894</v>
      </c>
      <c r="K13" s="19">
        <f>IS!K38</f>
        <v>0.22847705674012389</v>
      </c>
      <c r="L13" s="19">
        <f>IS!L38</f>
        <v>0.23301919861943152</v>
      </c>
      <c r="M13" s="19">
        <f>IS!M38</f>
        <v>0.23549113605562161</v>
      </c>
      <c r="N13" s="19">
        <f>IS!N38</f>
        <v>0.23698135155201636</v>
      </c>
      <c r="O13" s="19">
        <f>IS!O38</f>
        <v>0.23735343703203796</v>
      </c>
      <c r="P13" s="19">
        <f>IS!P38</f>
        <v>0.23766149521223673</v>
      </c>
      <c r="Q13" s="19">
        <f>IS!Q38</f>
        <v>0.23790435082922706</v>
      </c>
      <c r="R13" s="19">
        <f>IS!R38</f>
        <v>0.23808105274888172</v>
      </c>
      <c r="S13" s="19">
        <f>IS!S38</f>
        <v>0.23819080806922041</v>
      </c>
    </row>
    <row r="14" spans="2:19" x14ac:dyDescent="0.2">
      <c r="B14" t="s">
        <v>27</v>
      </c>
      <c r="E14" s="19">
        <f>IS!E36</f>
        <v>0.29801211714624609</v>
      </c>
      <c r="F14" s="19">
        <f>IS!F36</f>
        <v>0.26756540463602518</v>
      </c>
      <c r="G14" s="19">
        <f>IS!G36</f>
        <v>0.26476605910587842</v>
      </c>
      <c r="H14" s="19">
        <f>IS!H36</f>
        <v>0.2549888983907786</v>
      </c>
      <c r="I14" s="19">
        <f>IS!I36</f>
        <v>0.21967521538011117</v>
      </c>
      <c r="J14" s="19">
        <f>IS!J36</f>
        <v>0.21752980691040893</v>
      </c>
      <c r="K14" s="19">
        <f>IS!K36</f>
        <v>0.22447705674012389</v>
      </c>
      <c r="L14" s="19">
        <f>IS!L36</f>
        <v>0.22901919861943151</v>
      </c>
      <c r="M14" s="19">
        <f>IS!M36</f>
        <v>0.23149113605562163</v>
      </c>
      <c r="N14" s="19">
        <f>IS!N36</f>
        <v>0.23298135155201632</v>
      </c>
      <c r="O14" s="19">
        <f>IS!O36</f>
        <v>0.23335343703203795</v>
      </c>
      <c r="P14" s="19">
        <f>IS!P36</f>
        <v>0.2336614952122367</v>
      </c>
      <c r="Q14" s="19">
        <f>IS!Q36</f>
        <v>0.23390435082922706</v>
      </c>
      <c r="R14" s="19">
        <f>IS!R36</f>
        <v>0.23408105274888172</v>
      </c>
      <c r="S14" s="19">
        <f>IS!S36</f>
        <v>0.23419080806922044</v>
      </c>
    </row>
    <row r="15" spans="2:19" x14ac:dyDescent="0.2">
      <c r="B15" t="s">
        <v>28</v>
      </c>
      <c r="E15" s="16">
        <f>IS!E33</f>
        <v>715.0400000000003</v>
      </c>
      <c r="F15" s="16">
        <f>IS!F33</f>
        <v>889.98500000000024</v>
      </c>
      <c r="G15" s="16">
        <f>IS!G33</f>
        <v>1100.3739999999998</v>
      </c>
      <c r="H15" s="16">
        <f>IS!H33</f>
        <v>1115.8330000000001</v>
      </c>
      <c r="I15" s="16">
        <f>IS!I33</f>
        <v>966.91199999999981</v>
      </c>
      <c r="J15" s="16">
        <f>IS!J33</f>
        <v>970.03191115999994</v>
      </c>
      <c r="K15" s="16">
        <f>IS!K33</f>
        <v>1031.2553096953998</v>
      </c>
      <c r="L15" s="16">
        <f>IS!L33</f>
        <v>1091.2856744702108</v>
      </c>
      <c r="M15" s="16">
        <f>IS!M33</f>
        <v>1145.2726008918776</v>
      </c>
      <c r="N15" s="16">
        <f>IS!N33</f>
        <v>1194.6982939042177</v>
      </c>
      <c r="O15" s="16">
        <f>IS!O33</f>
        <v>1240.2902324188078</v>
      </c>
      <c r="P15" s="16">
        <f>IS!P33</f>
        <v>1285.1410821531615</v>
      </c>
      <c r="Q15" s="16">
        <f>IS!Q33</f>
        <v>1328.6807173617763</v>
      </c>
      <c r="R15" s="16">
        <f>IS!R33</f>
        <v>1370.5465375447757</v>
      </c>
      <c r="S15" s="16">
        <f>IS!S33</f>
        <v>1410.3924560594826</v>
      </c>
    </row>
    <row r="16" spans="2:19" x14ac:dyDescent="0.2">
      <c r="B16" t="s">
        <v>29</v>
      </c>
      <c r="E16" s="20">
        <f>IS!E39</f>
        <v>8.3153269091936348</v>
      </c>
      <c r="F16" s="20">
        <f>IS!F39</f>
        <v>10.923588039867109</v>
      </c>
      <c r="G16" s="20">
        <f>IS!G39</f>
        <v>12.034784994834711</v>
      </c>
      <c r="H16" s="20">
        <f>IS!H39</f>
        <v>13.167903463029816</v>
      </c>
      <c r="I16" s="20">
        <f>IS!I39</f>
        <v>12.597402597402597</v>
      </c>
      <c r="J16" s="20">
        <f ca="1">IS!J39</f>
        <v>14.444714924120856</v>
      </c>
      <c r="K16" s="20">
        <f ca="1">IS!K39</f>
        <v>17.050403076486482</v>
      </c>
      <c r="L16" s="20">
        <f ca="1">IS!L39</f>
        <v>20.208268319075568</v>
      </c>
      <c r="M16" s="20">
        <f ca="1">IS!M39</f>
        <v>23.661987316436036</v>
      </c>
      <c r="N16" s="20">
        <f ca="1">IS!N39</f>
        <v>27.7083766083644</v>
      </c>
      <c r="O16" s="20">
        <f ca="1">IS!O39</f>
        <v>32.371897365266953</v>
      </c>
      <c r="P16" s="20">
        <f ca="1">IS!P39</f>
        <v>37.499852393659573</v>
      </c>
      <c r="Q16" s="20">
        <f ca="1">IS!Q39</f>
        <v>43.33846304993358</v>
      </c>
      <c r="R16" s="20">
        <f ca="1">IS!R39</f>
        <v>49.846774160914116</v>
      </c>
      <c r="S16" s="20">
        <f ca="1">IS!S39</f>
        <v>57.03588197673875</v>
      </c>
    </row>
    <row r="17" spans="2:19" x14ac:dyDescent="0.2">
      <c r="B17" t="s">
        <v>30</v>
      </c>
      <c r="E17" s="20">
        <f>IS!E25</f>
        <v>11.38915220188958</v>
      </c>
      <c r="F17" s="20">
        <f>IS!F25</f>
        <v>8.711398896880949</v>
      </c>
      <c r="G17" s="20">
        <f>IS!G25</f>
        <v>12.793227014462804</v>
      </c>
      <c r="H17" s="20">
        <f>IS!H25</f>
        <v>15.87899451798369</v>
      </c>
      <c r="I17" s="20">
        <f>IS!I25</f>
        <v>-1.4978969893742644</v>
      </c>
      <c r="J17" s="20">
        <f ca="1">IS!J25</f>
        <v>13.171743363850876</v>
      </c>
      <c r="K17" s="20">
        <f ca="1">IS!K25</f>
        <v>15.917229887079634</v>
      </c>
      <c r="L17" s="20">
        <f ca="1">IS!L25</f>
        <v>18.87694632177157</v>
      </c>
      <c r="M17" s="20">
        <f ca="1">IS!M25</f>
        <v>22.112486435436495</v>
      </c>
      <c r="N17" s="20">
        <f ca="1">IS!N25</f>
        <v>25.899358365149109</v>
      </c>
      <c r="O17" s="20">
        <f ca="1">IS!O25</f>
        <v>30.257996330006435</v>
      </c>
      <c r="P17" s="20">
        <f ca="1">IS!P25</f>
        <v>35.051072854855427</v>
      </c>
      <c r="Q17" s="20">
        <f ca="1">IS!Q25</f>
        <v>40.509896441076783</v>
      </c>
      <c r="R17" s="20">
        <f ca="1">IS!R25</f>
        <v>46.594813360096047</v>
      </c>
      <c r="S17" s="20">
        <f ca="1">IS!S25</f>
        <v>53.316131754757201</v>
      </c>
    </row>
    <row r="18" spans="2:19" x14ac:dyDescent="0.2">
      <c r="B18" t="s">
        <v>31</v>
      </c>
      <c r="E18" s="16">
        <f>CF!E37</f>
        <v>511.24899999999985</v>
      </c>
      <c r="F18" s="16">
        <f>CF!F37</f>
        <v>498.95200000000006</v>
      </c>
      <c r="G18" s="16">
        <f>CF!G37</f>
        <v>814.81899999999996</v>
      </c>
      <c r="H18" s="16">
        <f>CF!H37</f>
        <v>923.1389999999999</v>
      </c>
      <c r="I18" s="16">
        <f>CF!I37</f>
        <v>659.19999999999993</v>
      </c>
      <c r="J18" s="16">
        <f ca="1">CF!J37</f>
        <v>727.63605718266695</v>
      </c>
      <c r="K18" s="16">
        <f ca="1">CF!K37</f>
        <v>789.21823459351367</v>
      </c>
      <c r="L18" s="16">
        <f ca="1">CF!L37</f>
        <v>844.47355009809758</v>
      </c>
      <c r="M18" s="16">
        <f ca="1">CF!M37</f>
        <v>890.96269500466212</v>
      </c>
      <c r="N18" s="16">
        <f ca="1">CF!N37</f>
        <v>930.02964315729503</v>
      </c>
      <c r="O18" s="16">
        <f ca="1">CF!O37</f>
        <v>963.49396926766622</v>
      </c>
      <c r="P18" s="16">
        <f ca="1">CF!P37</f>
        <v>997.29811539864556</v>
      </c>
      <c r="Q18" s="16">
        <f ca="1">CF!Q37</f>
        <v>1032.429639136089</v>
      </c>
      <c r="R18" s="16">
        <f ca="1">CF!R37</f>
        <v>1066.2638269346398</v>
      </c>
      <c r="S18" s="16">
        <f ca="1">CF!S37</f>
        <v>1098.5199772715382</v>
      </c>
    </row>
    <row r="19" spans="2:19" x14ac:dyDescent="0.2">
      <c r="B19" t="s">
        <v>32</v>
      </c>
      <c r="E19" s="21">
        <f>-CF!E29</f>
        <v>1000</v>
      </c>
      <c r="F19" s="21">
        <f>-CF!F29</f>
        <v>0</v>
      </c>
      <c r="G19" s="21">
        <f>-CF!G29</f>
        <v>175.01900000000001</v>
      </c>
      <c r="H19" s="21">
        <f>-CF!H29</f>
        <v>552.45100000000002</v>
      </c>
      <c r="I19" s="21">
        <f>-CF!I29</f>
        <v>582.32000000000005</v>
      </c>
      <c r="J19" s="21">
        <f ca="1">-CF!J29</f>
        <v>582.1088457461334</v>
      </c>
      <c r="K19" s="21">
        <f ca="1">-CF!K29</f>
        <v>631.37458767481098</v>
      </c>
      <c r="L19" s="21">
        <f ca="1">-CF!L29</f>
        <v>675.57884007847815</v>
      </c>
      <c r="M19" s="21">
        <f ca="1">-CF!M29</f>
        <v>712.77015600372954</v>
      </c>
      <c r="N19" s="21">
        <f ca="1">-CF!N29</f>
        <v>998.84175053308286</v>
      </c>
      <c r="O19" s="21">
        <f ca="1">-CF!O29</f>
        <v>963.49396926766622</v>
      </c>
      <c r="P19" s="21">
        <f ca="1">-CF!P29</f>
        <v>997.29811539864545</v>
      </c>
      <c r="Q19" s="21">
        <f ca="1">-CF!Q29</f>
        <v>1032.429639136089</v>
      </c>
      <c r="R19" s="21">
        <f ca="1">-CF!R29</f>
        <v>1066.2638269346389</v>
      </c>
      <c r="S19" s="21">
        <f ca="1">-CF!S29</f>
        <v>1098.5199772682929</v>
      </c>
    </row>
    <row r="20" spans="2:19" x14ac:dyDescent="0.2">
      <c r="B20" t="s">
        <v>33</v>
      </c>
      <c r="E20" s="16">
        <f>Debt!E54</f>
        <v>558.19299999999998</v>
      </c>
      <c r="F20" s="16">
        <f>Debt!F54</f>
        <v>2130.7600000000002</v>
      </c>
      <c r="G20" s="16">
        <f>Debt!G54</f>
        <v>1515.0360000000001</v>
      </c>
      <c r="H20" s="16">
        <f>Debt!H54</f>
        <v>1168.8539999999998</v>
      </c>
      <c r="I20" s="16">
        <f>Debt!I54</f>
        <v>1100.5309999999999</v>
      </c>
      <c r="J20" s="16">
        <f ca="1">Debt!J54</f>
        <v>964.00378856346629</v>
      </c>
      <c r="K20" s="16">
        <f ca="1">Debt!K54</f>
        <v>815.16014164476417</v>
      </c>
      <c r="L20" s="16">
        <f ca="1">Debt!L54</f>
        <v>655.26543162514429</v>
      </c>
      <c r="M20" s="16">
        <f ca="1">Debt!M54</f>
        <v>481.18789262421217</v>
      </c>
      <c r="N20" s="16">
        <f ca="1">Debt!N54</f>
        <v>550</v>
      </c>
      <c r="O20" s="16">
        <f ca="1">Debt!O54</f>
        <v>550</v>
      </c>
      <c r="P20" s="16">
        <f ca="1">Debt!P54</f>
        <v>549.99999999999989</v>
      </c>
      <c r="Q20" s="16">
        <f ca="1">Debt!Q54</f>
        <v>549.99999999999989</v>
      </c>
      <c r="R20" s="16">
        <f ca="1">Debt!R54</f>
        <v>550.0000000001495</v>
      </c>
      <c r="S20" s="16">
        <f ca="1">Debt!S54</f>
        <v>550.00000046199955</v>
      </c>
    </row>
    <row r="21" spans="2:19" x14ac:dyDescent="0.2">
      <c r="B21" t="s">
        <v>34</v>
      </c>
      <c r="E21" s="22">
        <f>Debt!E55</f>
        <v>0.78064583799507681</v>
      </c>
      <c r="F21" s="22">
        <f>Debt!F55</f>
        <v>2.3941527104389397</v>
      </c>
      <c r="G21" s="22">
        <f>Debt!G55</f>
        <v>1.3768373298533048</v>
      </c>
      <c r="H21" s="22">
        <f>Debt!H55</f>
        <v>1.0475169671447249</v>
      </c>
      <c r="I21" s="22">
        <f>Debt!I55</f>
        <v>1.1381914796796402</v>
      </c>
      <c r="J21" s="22">
        <f ca="1">Debt!J55</f>
        <v>0.99378564506261968</v>
      </c>
      <c r="K21" s="22">
        <f ca="1">Debt!K55</f>
        <v>0.79045424928336783</v>
      </c>
      <c r="L21" s="22">
        <f ca="1">Debt!L55</f>
        <v>0.60045270175772958</v>
      </c>
      <c r="M21" s="22">
        <f ca="1">Debt!M55</f>
        <v>0.42015140521958577</v>
      </c>
      <c r="N21" s="22">
        <f ca="1">Debt!N55</f>
        <v>0.46036727666415755</v>
      </c>
      <c r="O21" s="22">
        <f ca="1">Debt!O55</f>
        <v>0.44344459516333751</v>
      </c>
      <c r="P21" s="22">
        <f ca="1">Debt!P55</f>
        <v>0.42796857686512862</v>
      </c>
      <c r="Q21" s="22">
        <f ca="1">Debt!Q55</f>
        <v>0.41394444339651287</v>
      </c>
      <c r="R21" s="22">
        <f ca="1">Debt!R55</f>
        <v>0.40129976249141486</v>
      </c>
      <c r="S21" s="22">
        <f ca="1">Debt!S55</f>
        <v>0.38996238110820097</v>
      </c>
    </row>
    <row r="22" spans="2:19" x14ac:dyDescent="0.2">
      <c r="B22" t="s">
        <v>35</v>
      </c>
      <c r="E22" s="23">
        <f>IS!E24</f>
        <v>63.718000000000004</v>
      </c>
      <c r="F22" s="23">
        <f>IS!F24</f>
        <v>62.006</v>
      </c>
      <c r="G22" s="23">
        <f>IS!G24</f>
        <v>61.951999999999998</v>
      </c>
      <c r="H22" s="23">
        <f>IS!H24</f>
        <v>59.832000000000001</v>
      </c>
      <c r="I22" s="23">
        <f>IS!I24</f>
        <v>54.207999999999998</v>
      </c>
      <c r="J22" s="23">
        <f ca="1">IS!J24</f>
        <v>48.344673334966537</v>
      </c>
      <c r="K22" s="23">
        <f ca="1">IS!K24</f>
        <v>43.966801263947538</v>
      </c>
      <c r="L22" s="23">
        <f ca="1">IS!L24</f>
        <v>39.938890470788813</v>
      </c>
      <c r="M22" s="23">
        <f ca="1">IS!M24</f>
        <v>36.359365801609577</v>
      </c>
      <c r="N22" s="23">
        <f ca="1">IS!N24</f>
        <v>32.642194708805732</v>
      </c>
      <c r="O22" s="23">
        <f ca="1">IS!O24</f>
        <v>28.951514591565587</v>
      </c>
      <c r="P22" s="23">
        <f ca="1">IS!P24</f>
        <v>25.866867941036737</v>
      </c>
      <c r="Q22" s="23">
        <f ca="1">IS!Q24</f>
        <v>23.166981660227155</v>
      </c>
      <c r="R22" s="23">
        <f ca="1">IS!R24</f>
        <v>20.796767703608651</v>
      </c>
      <c r="S22" s="23">
        <f ca="1">IS!S24</f>
        <v>18.718461423376187</v>
      </c>
    </row>
    <row r="23" spans="2:19" x14ac:dyDescent="0.2">
      <c r="B23" s="3" t="s">
        <v>36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2:19" x14ac:dyDescent="0.2">
      <c r="B24" t="s">
        <v>37</v>
      </c>
      <c r="J24" s="19">
        <f>IS!J8</f>
        <v>1.5685356825280827E-2</v>
      </c>
      <c r="K24" s="24"/>
      <c r="L24" s="24"/>
      <c r="M24" s="24"/>
      <c r="N24" s="24"/>
      <c r="O24" s="24"/>
      <c r="P24" s="24"/>
      <c r="Q24" s="24"/>
      <c r="R24" s="24"/>
      <c r="S24" s="24"/>
    </row>
    <row r="25" spans="2:19" x14ac:dyDescent="0.2">
      <c r="B25" s="17" t="s">
        <v>38</v>
      </c>
      <c r="J25" s="25" t="str">
        <f>IF(AND(J24&gt;=0.01-0.0005,J24&lt;=0.02+0.0005),"Yes","No")</f>
        <v>Yes</v>
      </c>
      <c r="K25" s="26"/>
      <c r="L25" s="26"/>
      <c r="M25" s="26"/>
      <c r="N25" s="26"/>
      <c r="O25" s="26"/>
      <c r="P25" s="26"/>
      <c r="Q25" s="26"/>
      <c r="R25" s="26"/>
      <c r="S25" s="26"/>
    </row>
    <row r="26" spans="2:19" x14ac:dyDescent="0.2">
      <c r="B26" t="s">
        <v>39</v>
      </c>
      <c r="J26" s="19">
        <f>Rev_Build!J18</f>
        <v>2.5120681987860438E-2</v>
      </c>
      <c r="K26" s="24"/>
      <c r="L26" s="24"/>
      <c r="M26" s="24"/>
      <c r="N26" s="24"/>
      <c r="O26" s="24"/>
      <c r="P26" s="24"/>
      <c r="Q26" s="24"/>
      <c r="R26" s="24"/>
      <c r="S26" s="24"/>
    </row>
    <row r="27" spans="2:19" x14ac:dyDescent="0.2">
      <c r="B27" s="17" t="s">
        <v>38</v>
      </c>
      <c r="J27" s="25" t="str">
        <f>IF(AND(J26&gt;=0.02-0.0005,J26&lt;=0.03+0.0005),"Yes","No")</f>
        <v>Yes</v>
      </c>
      <c r="K27" s="26"/>
      <c r="L27" s="26"/>
      <c r="M27" s="26"/>
      <c r="N27" s="26"/>
      <c r="O27" s="26"/>
      <c r="P27" s="26"/>
      <c r="Q27" s="26"/>
      <c r="R27" s="26"/>
      <c r="S27" s="26"/>
    </row>
    <row r="28" spans="2:19" x14ac:dyDescent="0.2">
      <c r="B28" t="s">
        <v>40</v>
      </c>
      <c r="J28" s="19">
        <f>Rev_Build!J25</f>
        <v>-2.8212676962676819E-2</v>
      </c>
      <c r="K28" s="24"/>
      <c r="L28" s="24"/>
      <c r="M28" s="24"/>
      <c r="N28" s="24"/>
      <c r="O28" s="24"/>
      <c r="P28" s="24"/>
      <c r="Q28" s="24"/>
      <c r="R28" s="24"/>
      <c r="S28" s="24"/>
    </row>
    <row r="29" spans="2:19" x14ac:dyDescent="0.2">
      <c r="B29" s="17" t="s">
        <v>38</v>
      </c>
      <c r="J29" s="25" t="str">
        <f>IF(AND(J28&gt;=-0.04-0.0005,J28&lt;=-0.02+0.0005),"Yes","No")</f>
        <v>Yes</v>
      </c>
      <c r="K29" s="26"/>
      <c r="L29" s="26"/>
      <c r="M29" s="26"/>
      <c r="N29" s="26"/>
      <c r="O29" s="26"/>
      <c r="P29" s="26"/>
      <c r="Q29" s="26"/>
      <c r="R29" s="26"/>
      <c r="S29" s="26"/>
    </row>
    <row r="30" spans="2:19" x14ac:dyDescent="0.2">
      <c r="B30" t="s">
        <v>41</v>
      </c>
      <c r="J30" s="19">
        <f>IS!J38</f>
        <v>0.22352980691040894</v>
      </c>
      <c r="K30" s="24"/>
      <c r="L30" s="24"/>
      <c r="M30" s="24"/>
      <c r="N30" s="24"/>
      <c r="O30" s="24"/>
      <c r="P30" s="24"/>
      <c r="Q30" s="24"/>
      <c r="R30" s="24"/>
      <c r="S30" s="24"/>
    </row>
    <row r="31" spans="2:19" x14ac:dyDescent="0.2">
      <c r="B31" s="17" t="s">
        <v>38</v>
      </c>
      <c r="J31" s="25" t="str">
        <f>IF(AND(J30&gt;=0.223-0.0005,J30&lt;=0.235+0.0005),"Yes","No")</f>
        <v>Yes</v>
      </c>
      <c r="K31" s="26"/>
      <c r="L31" s="26"/>
      <c r="M31" s="26"/>
      <c r="N31" s="26"/>
      <c r="O31" s="26"/>
      <c r="P31" s="26"/>
      <c r="Q31" s="26"/>
      <c r="R31" s="26"/>
      <c r="S31" s="26"/>
    </row>
    <row r="32" spans="2:19" x14ac:dyDescent="0.2">
      <c r="B32" t="s">
        <v>42</v>
      </c>
      <c r="J32" s="19">
        <f ca="1">IS!J22</f>
        <v>0.22999999999999998</v>
      </c>
      <c r="K32" s="24"/>
      <c r="L32" s="24"/>
      <c r="M32" s="24"/>
      <c r="N32" s="24"/>
      <c r="O32" s="24"/>
      <c r="P32" s="24"/>
      <c r="Q32" s="24"/>
      <c r="R32" s="24"/>
      <c r="S32" s="24"/>
    </row>
    <row r="33" spans="2:19" x14ac:dyDescent="0.2">
      <c r="B33" s="17" t="s">
        <v>38</v>
      </c>
      <c r="J33" s="25" t="str">
        <f ca="1">IF(AND(J32&gt;=0.225-0.0005,J32&lt;=0.235+0.0005),"Yes","No")</f>
        <v>Yes</v>
      </c>
      <c r="K33" s="26"/>
      <c r="L33" s="26"/>
      <c r="M33" s="26"/>
      <c r="N33" s="26"/>
      <c r="O33" s="26"/>
      <c r="P33" s="26"/>
      <c r="Q33" s="26"/>
      <c r="R33" s="26"/>
      <c r="S33" s="26"/>
    </row>
    <row r="34" spans="2:19" x14ac:dyDescent="0.2">
      <c r="B34" t="s">
        <v>29</v>
      </c>
      <c r="J34" s="20">
        <f ca="1">IS!J39</f>
        <v>14.444714924120856</v>
      </c>
      <c r="K34" s="27"/>
      <c r="L34" s="27"/>
      <c r="M34" s="27"/>
      <c r="N34" s="27"/>
      <c r="O34" s="27"/>
      <c r="P34" s="27"/>
      <c r="Q34" s="27"/>
      <c r="R34" s="27"/>
      <c r="S34" s="27"/>
    </row>
    <row r="35" spans="2:19" x14ac:dyDescent="0.2">
      <c r="B35" s="17" t="s">
        <v>38</v>
      </c>
      <c r="J35" s="25" t="str">
        <f ca="1">IF(AND(J34&gt;=13.7-0.0005,J34&lt;=14+0.0005),"Yes","No")</f>
        <v>No</v>
      </c>
      <c r="K35" s="26"/>
      <c r="L35" s="26"/>
      <c r="M35" s="26"/>
      <c r="N35" s="26"/>
      <c r="O35" s="26"/>
      <c r="P35" s="26"/>
      <c r="Q35" s="26"/>
      <c r="R35" s="26"/>
      <c r="S35" s="26"/>
    </row>
    <row r="36" spans="2:19" x14ac:dyDescent="0.2">
      <c r="B36" s="17" t="s">
        <v>43</v>
      </c>
      <c r="J36" s="28">
        <f ca="1">IS!J24</f>
        <v>48.344673334966537</v>
      </c>
      <c r="K36" s="29"/>
      <c r="L36" s="29"/>
      <c r="M36" s="29"/>
      <c r="N36" s="29"/>
      <c r="O36" s="29"/>
      <c r="P36" s="29"/>
      <c r="Q36" s="29"/>
      <c r="R36" s="29"/>
      <c r="S36" s="29"/>
    </row>
    <row r="37" spans="2:19" x14ac:dyDescent="0.2">
      <c r="B37" s="17" t="s">
        <v>44</v>
      </c>
      <c r="J37" s="28">
        <f ca="1">IS!J39*IS!J24/13.85</f>
        <v>50.420579380746481</v>
      </c>
      <c r="K37" s="29"/>
      <c r="L37" s="29"/>
      <c r="M37" s="29"/>
      <c r="N37" s="29"/>
      <c r="O37" s="29"/>
      <c r="P37" s="29"/>
      <c r="Q37" s="29"/>
      <c r="R37" s="29"/>
      <c r="S37" s="29"/>
    </row>
    <row r="39" spans="2:19" x14ac:dyDescent="0.2">
      <c r="B39" s="3" t="s">
        <v>735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2:19" ht="30" customHeight="1" x14ac:dyDescent="0.2">
      <c r="B40" s="3" t="s">
        <v>736</v>
      </c>
      <c r="E40" s="30" t="s">
        <v>737</v>
      </c>
      <c r="F40" s="30" t="s">
        <v>738</v>
      </c>
      <c r="G40" s="30" t="s">
        <v>739</v>
      </c>
      <c r="H40" s="30" t="s">
        <v>740</v>
      </c>
      <c r="I40" s="30" t="s">
        <v>741</v>
      </c>
      <c r="J40" s="30" t="s">
        <v>742</v>
      </c>
      <c r="K40" s="30" t="s">
        <v>743</v>
      </c>
      <c r="L40" s="30" t="s">
        <v>744</v>
      </c>
      <c r="M40" s="30" t="s">
        <v>745</v>
      </c>
      <c r="N40" s="30" t="s">
        <v>746</v>
      </c>
      <c r="O40" s="30" t="s">
        <v>747</v>
      </c>
    </row>
    <row r="41" spans="2:19" x14ac:dyDescent="0.2">
      <c r="B41" t="s">
        <v>748</v>
      </c>
      <c r="F41" s="21">
        <f>IS!$J$7</f>
        <v>4104.0259900000001</v>
      </c>
      <c r="G41" s="21">
        <f>IS!$N$7</f>
        <v>4785.3260332169966</v>
      </c>
      <c r="H41" s="24">
        <f>(IS!$N$7/IS!$I$7)^(1/5)-1</f>
        <v>3.4408603979305674E-2</v>
      </c>
      <c r="I41" s="24">
        <f>IS!$N$38</f>
        <v>0.23698135155201636</v>
      </c>
      <c r="J41" s="27">
        <f ca="1">IS!$J$39</f>
        <v>14.444714924120856</v>
      </c>
      <c r="K41" s="27">
        <f ca="1">IS!$N$39</f>
        <v>27.7083766083644</v>
      </c>
      <c r="L41" s="21">
        <f ca="1">SUM(CF!$J$37:$N$37)</f>
        <v>4182.3201800362358</v>
      </c>
      <c r="M41" s="31">
        <f ca="1">Debt!$N$55</f>
        <v>0.46036727666415755</v>
      </c>
      <c r="N41" s="27">
        <f ca="1">ValuePerShare</f>
        <v>222.98831860580984</v>
      </c>
      <c r="O41" s="24">
        <f ca="1">Upside</f>
        <v>0.8811229846955444</v>
      </c>
    </row>
    <row r="42" spans="2:19" x14ac:dyDescent="0.2">
      <c r="B42" s="1" t="s">
        <v>749</v>
      </c>
      <c r="E42" s="14">
        <v>1</v>
      </c>
      <c r="F42" s="21">
        <f t="dataTable" ref="F42:O44" dt2D="0" dtr="0" r1="E6" ca="1"/>
        <v>4104.0259900000001</v>
      </c>
      <c r="G42" s="21">
        <v>4785.3260332169966</v>
      </c>
      <c r="H42" s="24">
        <v>3.4408603979305674E-2</v>
      </c>
      <c r="I42" s="24">
        <v>0.23698135155201636</v>
      </c>
      <c r="J42" s="27">
        <v>14.444714924120856</v>
      </c>
      <c r="K42" s="27">
        <v>27.7083766083644</v>
      </c>
      <c r="L42" s="21">
        <v>4182.3201800362358</v>
      </c>
      <c r="M42" s="31">
        <v>0.46036727666415755</v>
      </c>
      <c r="N42" s="27">
        <v>222.98831860580668</v>
      </c>
      <c r="O42" s="24">
        <v>0.88112298469551775</v>
      </c>
    </row>
    <row r="43" spans="2:19" x14ac:dyDescent="0.2">
      <c r="B43" s="1" t="s">
        <v>750</v>
      </c>
      <c r="E43" s="14">
        <v>2</v>
      </c>
      <c r="F43" s="21">
        <v>4188.2021800000002</v>
      </c>
      <c r="G43" s="21">
        <v>5321.6687392245849</v>
      </c>
      <c r="H43" s="24">
        <v>5.6621358444328918E-2</v>
      </c>
      <c r="I43" s="24">
        <v>0.26507681212812656</v>
      </c>
      <c r="J43" s="27">
        <v>15.583660693146552</v>
      </c>
      <c r="K43" s="27">
        <v>35.941766334176421</v>
      </c>
      <c r="L43" s="21">
        <v>4961.7524109461747</v>
      </c>
      <c r="M43" s="31">
        <v>0.37296963465908056</v>
      </c>
      <c r="N43" s="27">
        <v>306.64159849058547</v>
      </c>
      <c r="O43" s="24">
        <v>1.5868196262070646</v>
      </c>
    </row>
    <row r="44" spans="2:19" x14ac:dyDescent="0.2">
      <c r="B44" s="1" t="s">
        <v>751</v>
      </c>
      <c r="E44" s="14">
        <v>3</v>
      </c>
      <c r="F44" s="21">
        <v>3999.9029299999997</v>
      </c>
      <c r="G44" s="21">
        <v>3925.5935169555382</v>
      </c>
      <c r="H44" s="24">
        <v>-5.7607972737087065E-3</v>
      </c>
      <c r="I44" s="24">
        <v>0.1869754800540406</v>
      </c>
      <c r="J44" s="27">
        <v>12.697635195909873</v>
      </c>
      <c r="K44" s="27">
        <v>16.384385905010671</v>
      </c>
      <c r="L44" s="21">
        <v>2979.06368979739</v>
      </c>
      <c r="M44" s="31">
        <v>0.67816822011440603</v>
      </c>
      <c r="N44" s="27">
        <v>113.57526125324635</v>
      </c>
      <c r="O44" s="24">
        <v>-4.1882391992185353E-2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81"/>
  <sheetViews>
    <sheetView showGridLines="0" zoomScale="90" zoomScaleNormal="90" workbookViewId="0"/>
  </sheetViews>
  <sheetFormatPr defaultRowHeight="12.75" x14ac:dyDescent="0.2"/>
  <cols>
    <col min="1" max="1" width="2.7109375" customWidth="1"/>
    <col min="2" max="2" width="52.7109375" customWidth="1"/>
    <col min="3" max="3" width="14.7109375" customWidth="1"/>
    <col min="4" max="4" width="50.7109375" customWidth="1"/>
    <col min="5" max="19" width="11.28515625" customWidth="1"/>
  </cols>
  <sheetData>
    <row r="1" spans="2:4" x14ac:dyDescent="0.2">
      <c r="B1" s="1" t="s">
        <v>45</v>
      </c>
    </row>
    <row r="2" spans="2:4" x14ac:dyDescent="0.2">
      <c r="B2" s="2" t="s">
        <v>1</v>
      </c>
    </row>
    <row r="4" spans="2:4" x14ac:dyDescent="0.2">
      <c r="B4" s="3" t="s">
        <v>46</v>
      </c>
      <c r="C4" s="15"/>
      <c r="D4" s="15"/>
    </row>
    <row r="5" spans="2:4" x14ac:dyDescent="0.2">
      <c r="B5" t="s">
        <v>47</v>
      </c>
      <c r="C5" s="32">
        <v>2.5000000000000001E-2</v>
      </c>
      <c r="D5" s="2" t="s">
        <v>48</v>
      </c>
    </row>
    <row r="6" spans="2:4" x14ac:dyDescent="0.2">
      <c r="B6" t="s">
        <v>49</v>
      </c>
      <c r="C6" s="32">
        <v>0.03</v>
      </c>
    </row>
    <row r="7" spans="2:4" x14ac:dyDescent="0.2">
      <c r="B7" t="s">
        <v>50</v>
      </c>
      <c r="C7" s="32">
        <v>0.01</v>
      </c>
      <c r="D7" s="2" t="s">
        <v>51</v>
      </c>
    </row>
    <row r="8" spans="2:4" x14ac:dyDescent="0.2">
      <c r="B8" t="s">
        <v>52</v>
      </c>
      <c r="C8" s="24">
        <f>CHOOSE(Scenario,TG_Base,TG_Bull,TG_Bear)</f>
        <v>2.5000000000000001E-2</v>
      </c>
    </row>
    <row r="9" spans="2:4" x14ac:dyDescent="0.2">
      <c r="B9" t="s">
        <v>53</v>
      </c>
      <c r="C9" s="33">
        <v>8</v>
      </c>
      <c r="D9" s="2" t="s">
        <v>54</v>
      </c>
    </row>
    <row r="10" spans="2:4" x14ac:dyDescent="0.2">
      <c r="B10" t="s">
        <v>55</v>
      </c>
      <c r="C10" s="32">
        <v>0.22</v>
      </c>
      <c r="D10" s="2" t="s">
        <v>56</v>
      </c>
    </row>
    <row r="11" spans="2:4" x14ac:dyDescent="0.2">
      <c r="B11" t="s">
        <v>57</v>
      </c>
      <c r="C11" s="32">
        <v>0.66800000000000004</v>
      </c>
      <c r="D11" s="2" t="s">
        <v>58</v>
      </c>
    </row>
    <row r="12" spans="2:4" x14ac:dyDescent="0.2">
      <c r="B12" t="s">
        <v>59</v>
      </c>
      <c r="C12" s="14">
        <v>10</v>
      </c>
    </row>
    <row r="13" spans="2:4" x14ac:dyDescent="0.2">
      <c r="B13" t="s">
        <v>60</v>
      </c>
      <c r="C13" s="34">
        <v>0.25</v>
      </c>
    </row>
    <row r="14" spans="2:4" x14ac:dyDescent="0.2">
      <c r="B14" t="s">
        <v>61</v>
      </c>
      <c r="C14" s="35">
        <v>170.27600000000001</v>
      </c>
      <c r="D14" s="2" t="s">
        <v>62</v>
      </c>
    </row>
    <row r="15" spans="2:4" x14ac:dyDescent="0.2">
      <c r="B15" t="s">
        <v>63</v>
      </c>
      <c r="C15" s="35">
        <v>639.58000000000004</v>
      </c>
      <c r="D15" s="2" t="s">
        <v>64</v>
      </c>
    </row>
    <row r="16" spans="2:4" x14ac:dyDescent="0.2">
      <c r="B16" t="s">
        <v>65</v>
      </c>
      <c r="C16" s="32">
        <v>1</v>
      </c>
      <c r="D16" s="2" t="s">
        <v>66</v>
      </c>
    </row>
    <row r="17" spans="2:4" x14ac:dyDescent="0.2">
      <c r="B17" t="s">
        <v>67</v>
      </c>
      <c r="C17" s="35">
        <v>1384.674</v>
      </c>
      <c r="D17" s="2" t="s">
        <v>68</v>
      </c>
    </row>
    <row r="18" spans="2:4" x14ac:dyDescent="0.2">
      <c r="B18" t="s">
        <v>35</v>
      </c>
      <c r="C18" s="29">
        <f>SharesOut+Dilution</f>
        <v>48.344999999999999</v>
      </c>
    </row>
    <row r="19" spans="2:4" x14ac:dyDescent="0.2">
      <c r="B19" s="3" t="s">
        <v>69</v>
      </c>
      <c r="C19" s="15"/>
      <c r="D19" s="15"/>
    </row>
    <row r="20" spans="2:4" x14ac:dyDescent="0.2">
      <c r="B20" t="s">
        <v>70</v>
      </c>
      <c r="C20" s="21">
        <f>DCF!$S$17</f>
        <v>1078.8534859991375</v>
      </c>
    </row>
    <row r="21" spans="2:4" x14ac:dyDescent="0.2">
      <c r="B21" t="s">
        <v>71</v>
      </c>
      <c r="C21" s="21">
        <f>FCFF_2035-DCF!$S$8*(TaxTV-Inputs!$S$103)</f>
        <v>1026.1642062298829</v>
      </c>
    </row>
    <row r="22" spans="2:4" x14ac:dyDescent="0.2">
      <c r="B22" t="s">
        <v>72</v>
      </c>
      <c r="C22" s="29">
        <f>DCF!$S$21+0.5</f>
        <v>9.5</v>
      </c>
    </row>
    <row r="23" spans="2:4" x14ac:dyDescent="0.2">
      <c r="B23" t="s">
        <v>73</v>
      </c>
      <c r="C23" s="21">
        <f>FCFF_TV*(1+TG)/(WACC-TG)</f>
        <v>14968.190433810169</v>
      </c>
    </row>
    <row r="24" spans="2:4" x14ac:dyDescent="0.2">
      <c r="B24" t="s">
        <v>74</v>
      </c>
      <c r="C24" s="21">
        <f>DCF!$S$24*ExitMultiple</f>
        <v>11283.139648475861</v>
      </c>
    </row>
    <row r="25" spans="2:4" x14ac:dyDescent="0.2">
      <c r="B25" t="s">
        <v>75</v>
      </c>
      <c r="C25" s="31">
        <f>TV_Gordon/DCF!$S$24</f>
        <v>10.612783959175468</v>
      </c>
    </row>
    <row r="26" spans="2:4" x14ac:dyDescent="0.2">
      <c r="B26" t="s">
        <v>76</v>
      </c>
      <c r="C26" s="24">
        <f>(TV_Exit*WACC-FCFF_TV)/(TV_Exit+FCFF_TV)</f>
        <v>3.9631159852846131E-3</v>
      </c>
    </row>
    <row r="27" spans="2:4" x14ac:dyDescent="0.2">
      <c r="B27" s="3" t="s">
        <v>77</v>
      </c>
      <c r="C27" s="15"/>
      <c r="D27" s="15"/>
    </row>
    <row r="28" spans="2:4" x14ac:dyDescent="0.2">
      <c r="B28" t="s">
        <v>78</v>
      </c>
      <c r="C28" s="21">
        <f>SUM(DCF!$J$23:$S$23)</f>
        <v>5883.3968833015451</v>
      </c>
    </row>
    <row r="29" spans="2:4" x14ac:dyDescent="0.2">
      <c r="B29" t="s">
        <v>79</v>
      </c>
      <c r="C29" s="21">
        <f>TV_Gordon*(1+WACC)^-N_End</f>
        <v>6305.4643529961932</v>
      </c>
    </row>
    <row r="30" spans="2:4" x14ac:dyDescent="0.2">
      <c r="B30" t="s">
        <v>80</v>
      </c>
      <c r="C30" s="21">
        <f ca="1">Tax!$S$15/DTAYears*(1-(1+WACC)^-DTAYears)/WACC*(1+WACC)^-N_End</f>
        <v>130.54831478951218</v>
      </c>
    </row>
    <row r="31" spans="2:4" x14ac:dyDescent="0.2">
      <c r="B31" t="s">
        <v>81</v>
      </c>
      <c r="C31" s="21">
        <f ca="1">PV_Explicit+PV_TV+PV_DTA</f>
        <v>12319.40955108725</v>
      </c>
    </row>
    <row r="32" spans="2:4" x14ac:dyDescent="0.2">
      <c r="B32" t="s">
        <v>82</v>
      </c>
      <c r="C32" s="24">
        <f ca="1">PV_TV/EV_DCF</f>
        <v>0.51183170158018687</v>
      </c>
    </row>
    <row r="33" spans="2:4" x14ac:dyDescent="0.2">
      <c r="B33" t="s">
        <v>83</v>
      </c>
      <c r="C33" s="21">
        <f>-DebtFace</f>
        <v>-1334</v>
      </c>
    </row>
    <row r="34" spans="2:4" x14ac:dyDescent="0.2">
      <c r="B34" t="s">
        <v>84</v>
      </c>
      <c r="C34" s="21">
        <f>CashJun</f>
        <v>170.27600000000001</v>
      </c>
    </row>
    <row r="35" spans="2:4" x14ac:dyDescent="0.2">
      <c r="B35" t="s">
        <v>85</v>
      </c>
      <c r="C35" s="21">
        <f>-UTP*UTPPct</f>
        <v>-639.58000000000004</v>
      </c>
    </row>
    <row r="36" spans="2:4" x14ac:dyDescent="0.2">
      <c r="B36" t="s">
        <v>86</v>
      </c>
      <c r="C36" s="21">
        <f ca="1">EV_DCF+Br_Debt+Br_Cash+Br_UTP</f>
        <v>10516.10555108725</v>
      </c>
    </row>
    <row r="37" spans="2:4" x14ac:dyDescent="0.2">
      <c r="B37" t="s">
        <v>87</v>
      </c>
      <c r="C37" s="21">
        <f ca="1">Eq_Jun*(1+Ke)^RollFwd</f>
        <v>10780.370262997789</v>
      </c>
    </row>
    <row r="38" spans="2:4" x14ac:dyDescent="0.2">
      <c r="B38" t="s">
        <v>88</v>
      </c>
      <c r="C38" s="27">
        <f ca="1">Eq_Sep/SharesDil</f>
        <v>222.98831860580802</v>
      </c>
    </row>
    <row r="39" spans="2:4" x14ac:dyDescent="0.2">
      <c r="B39" t="s">
        <v>89</v>
      </c>
      <c r="C39" s="24">
        <f ca="1">ValuePerShare/SharePrice-1</f>
        <v>0.88112298469552908</v>
      </c>
    </row>
    <row r="40" spans="2:4" x14ac:dyDescent="0.2">
      <c r="B40" t="s">
        <v>90</v>
      </c>
      <c r="C40" s="27">
        <f ca="1">((PV_Explicit+TV_Exit*(1+WACC)^-N_End+PV_DTA)+Br_Debt+Br_Cash+Br_UTP)*(1+Ke)^RollFwd/SharesDil</f>
        <v>190.07145645711324</v>
      </c>
    </row>
    <row r="41" spans="2:4" x14ac:dyDescent="0.2">
      <c r="B41" t="s">
        <v>91</v>
      </c>
      <c r="C41" s="31">
        <f ca="1">EV_DCF/IS!$J$33</f>
        <v>12.700004411561313</v>
      </c>
    </row>
    <row r="42" spans="2:4" x14ac:dyDescent="0.2">
      <c r="B42" t="s">
        <v>92</v>
      </c>
      <c r="C42" s="27">
        <f ca="1">0.25*IS!$J$39+0.75*IS!$K$39</f>
        <v>16.398981038395075</v>
      </c>
    </row>
    <row r="43" spans="2:4" x14ac:dyDescent="0.2">
      <c r="B43" t="s">
        <v>93</v>
      </c>
      <c r="C43" s="31">
        <f ca="1">ValuePerShare/NTM_EPS</f>
        <v>13.597693544722295</v>
      </c>
    </row>
    <row r="44" spans="2:4" x14ac:dyDescent="0.2">
      <c r="B44" s="3" t="s">
        <v>94</v>
      </c>
      <c r="C44" s="15"/>
      <c r="D44" s="15"/>
    </row>
    <row r="45" spans="2:4" x14ac:dyDescent="0.2">
      <c r="B45" t="s">
        <v>95</v>
      </c>
      <c r="C45" s="27">
        <f ca="1">(SUM(DCF!$J$28:$S$28)+DCF!$S$26*(1+TG)/(Ke-TG)*(1+Ke)^-N_End+CashJun-MinCash-UTP*UTPPct)*(1+Ke)^RollFwd/SharesDil</f>
        <v>216.52282146751622</v>
      </c>
      <c r="D45" s="2" t="s">
        <v>96</v>
      </c>
    </row>
    <row r="46" spans="2:4" x14ac:dyDescent="0.2">
      <c r="B46" t="s">
        <v>97</v>
      </c>
      <c r="C46" s="27">
        <f ca="1">(BookEquityJun+SUM(DCF!$J$33:$S$33)+DCF!$S$32*(1+TG)/(Ke-TG)*(1+Ke)^-N_End-UTP*UTPPct)*(1+Ke)^RollFwd/SharesDil</f>
        <v>192.8271690996323</v>
      </c>
      <c r="D46" s="2" t="s">
        <v>98</v>
      </c>
    </row>
    <row r="47" spans="2:4" x14ac:dyDescent="0.2">
      <c r="B47" t="s">
        <v>99</v>
      </c>
      <c r="C47" s="24">
        <f ca="1">Equity!$K$10/IS!$K$23</f>
        <v>0.9021832067225094</v>
      </c>
    </row>
    <row r="48" spans="2:4" x14ac:dyDescent="0.2">
      <c r="B48" t="s">
        <v>100</v>
      </c>
      <c r="C48" s="31">
        <f ca="1">MIN(Payout27,1)/(Ke-TG)</f>
        <v>11.366671479071963</v>
      </c>
      <c r="D48" s="2" t="s">
        <v>101</v>
      </c>
    </row>
    <row r="49" spans="2:4" x14ac:dyDescent="0.2">
      <c r="B49" t="s">
        <v>102</v>
      </c>
      <c r="C49" s="27">
        <f ca="1">Justified_PE*NTM_EPS</f>
        <v>186.40183005496721</v>
      </c>
    </row>
    <row r="50" spans="2:4" x14ac:dyDescent="0.2">
      <c r="B50" s="3" t="s">
        <v>103</v>
      </c>
      <c r="C50" s="15"/>
      <c r="D50" s="15"/>
    </row>
    <row r="51" spans="2:4" x14ac:dyDescent="0.2">
      <c r="B51" t="s">
        <v>104</v>
      </c>
      <c r="C51" s="21">
        <f>IS!$J$42+IS!$J$32*Rev_Build!$J$17/IS!$J$7</f>
        <v>1206.3358169211328</v>
      </c>
    </row>
    <row r="52" spans="2:4" x14ac:dyDescent="0.2">
      <c r="B52" t="s">
        <v>105</v>
      </c>
      <c r="C52" s="21">
        <f>IS!$J$44+IS!$J$32*Rev_Build!$J$24/IS!$J$7</f>
        <v>75.602069478867065</v>
      </c>
    </row>
    <row r="53" spans="2:4" x14ac:dyDescent="0.2">
      <c r="B53" t="s">
        <v>106</v>
      </c>
      <c r="C53" s="21">
        <f>IS!$J$46</f>
        <v>-311.90597524000003</v>
      </c>
    </row>
    <row r="54" spans="2:4" x14ac:dyDescent="0.2">
      <c r="B54" t="s">
        <v>107</v>
      </c>
      <c r="C54" s="33">
        <v>9</v>
      </c>
      <c r="D54" s="2" t="s">
        <v>108</v>
      </c>
    </row>
    <row r="55" spans="2:4" x14ac:dyDescent="0.2">
      <c r="B55" t="s">
        <v>109</v>
      </c>
      <c r="C55" s="33">
        <v>6</v>
      </c>
      <c r="D55" s="2" t="s">
        <v>110</v>
      </c>
    </row>
    <row r="56" spans="2:4" x14ac:dyDescent="0.2">
      <c r="B56" t="s">
        <v>111</v>
      </c>
      <c r="C56" s="33">
        <v>8.5</v>
      </c>
      <c r="D56" s="2" t="s">
        <v>112</v>
      </c>
    </row>
    <row r="57" spans="2:4" x14ac:dyDescent="0.2">
      <c r="B57" t="s">
        <v>113</v>
      </c>
      <c r="C57" s="21">
        <f>SOTP_Crocs_EBITDA*SOTP_M_Crocs+SOTP_HD_EBITDA*SOTP_M_HD+SOTP_Corp*SOTP_M_Corp</f>
        <v>8659.433979623398</v>
      </c>
    </row>
    <row r="58" spans="2:4" x14ac:dyDescent="0.2">
      <c r="B58" t="s">
        <v>114</v>
      </c>
      <c r="C58" s="27">
        <f>(SOTP_EV-DebtFace+CashJun-UTP*UTPPct)/SharesDil</f>
        <v>141.81673347033609</v>
      </c>
    </row>
    <row r="59" spans="2:4" x14ac:dyDescent="0.2">
      <c r="B59" t="s">
        <v>115</v>
      </c>
      <c r="C59" s="21">
        <f>MktCap+DebtFace-CashJun+UTP*UTPPct</f>
        <v>7486.7043000000003</v>
      </c>
    </row>
    <row r="60" spans="2:4" x14ac:dyDescent="0.2">
      <c r="B60" t="s">
        <v>116</v>
      </c>
      <c r="C60" s="21">
        <f>MarketEV-SOTP_Crocs_EBITDA*SOTP_M_Crocs-SOTP_Corp*SOTP_M_Corp</f>
        <v>-719.11726275019555</v>
      </c>
      <c r="D60" s="2" t="s">
        <v>117</v>
      </c>
    </row>
    <row r="61" spans="2:4" x14ac:dyDescent="0.2">
      <c r="B61" t="s">
        <v>118</v>
      </c>
      <c r="C61" s="31">
        <f>Impl_HD_EV/SOTP_HD_EBITDA</f>
        <v>-9.5118727265952607</v>
      </c>
    </row>
    <row r="62" spans="2:4" x14ac:dyDescent="0.2">
      <c r="B62" s="3" t="s">
        <v>119</v>
      </c>
      <c r="C62" s="15"/>
      <c r="D62" s="15"/>
    </row>
    <row r="63" spans="2:4" x14ac:dyDescent="0.2">
      <c r="B63" t="s">
        <v>120</v>
      </c>
      <c r="C63" s="32">
        <v>0.2</v>
      </c>
    </row>
    <row r="64" spans="2:4" x14ac:dyDescent="0.2">
      <c r="B64" t="s">
        <v>121</v>
      </c>
      <c r="C64" s="32">
        <v>0.5</v>
      </c>
    </row>
    <row r="65" spans="2:4" x14ac:dyDescent="0.2">
      <c r="B65" t="s">
        <v>122</v>
      </c>
      <c r="C65" s="32">
        <v>0.3</v>
      </c>
      <c r="D65" s="2" t="s">
        <v>123</v>
      </c>
    </row>
    <row r="66" spans="2:4" x14ac:dyDescent="0.2">
      <c r="B66" t="s">
        <v>124</v>
      </c>
      <c r="C66" s="20">
        <f>Dashboard!$N$42</f>
        <v>222.98831860580668</v>
      </c>
    </row>
    <row r="67" spans="2:4" x14ac:dyDescent="0.2">
      <c r="B67" t="s">
        <v>125</v>
      </c>
      <c r="C67" s="20">
        <f>Dashboard!$N$43</f>
        <v>306.64159849058547</v>
      </c>
    </row>
    <row r="68" spans="2:4" x14ac:dyDescent="0.2">
      <c r="B68" t="s">
        <v>126</v>
      </c>
      <c r="C68" s="20">
        <f>Dashboard!$N$44</f>
        <v>113.57526125324635</v>
      </c>
    </row>
    <row r="69" spans="2:4" x14ac:dyDescent="0.2">
      <c r="B69" t="s">
        <v>127</v>
      </c>
      <c r="C69" s="27">
        <f>W_Bull*DCF_Bull+W_Base*DCF_Base+W_Bear*DCF_Bear</f>
        <v>206.89505737699434</v>
      </c>
    </row>
    <row r="70" spans="2:4" x14ac:dyDescent="0.2">
      <c r="B70" t="s">
        <v>128</v>
      </c>
      <c r="C70" s="32">
        <v>0.5</v>
      </c>
    </row>
    <row r="71" spans="2:4" x14ac:dyDescent="0.2">
      <c r="B71" t="s">
        <v>129</v>
      </c>
      <c r="C71" s="32">
        <v>0.25</v>
      </c>
    </row>
    <row r="72" spans="2:4" x14ac:dyDescent="0.2">
      <c r="B72" t="s">
        <v>130</v>
      </c>
      <c r="C72" s="32">
        <v>0.25</v>
      </c>
    </row>
    <row r="73" spans="2:4" x14ac:dyDescent="0.2">
      <c r="B73" t="s">
        <v>131</v>
      </c>
      <c r="C73" s="27">
        <f ca="1">PTW_DCF*DCF_PW+PTW_EV*Comps_EV_Value+PTW_PE*Comps_PE_Value</f>
        <v>191.8279876461886</v>
      </c>
    </row>
    <row r="74" spans="2:4" x14ac:dyDescent="0.2">
      <c r="B74" t="s">
        <v>132</v>
      </c>
      <c r="C74" s="27">
        <f ca="1">MROUND(PT_Raw,5)</f>
        <v>190</v>
      </c>
    </row>
    <row r="75" spans="2:4" x14ac:dyDescent="0.2">
      <c r="B75" t="s">
        <v>133</v>
      </c>
      <c r="C75" s="24">
        <f ca="1">PriceTarget/SharePrice-1</f>
        <v>0.60283448624936731</v>
      </c>
    </row>
    <row r="76" spans="2:4" x14ac:dyDescent="0.2">
      <c r="B76" t="s">
        <v>134</v>
      </c>
      <c r="C76" s="26" t="str">
        <f ca="1">IF(PT_Upside&gt;0.15,"BUY",IF(PT_Upside&lt;-0.1,"SELL","HOLD"))</f>
        <v>BUY</v>
      </c>
      <c r="D76" s="2" t="s">
        <v>135</v>
      </c>
    </row>
    <row r="77" spans="2:4" x14ac:dyDescent="0.2">
      <c r="B77" s="3" t="s">
        <v>136</v>
      </c>
      <c r="C77" s="15"/>
      <c r="D77" s="15"/>
    </row>
    <row r="78" spans="2:4" x14ac:dyDescent="0.2">
      <c r="B78" t="s">
        <v>137</v>
      </c>
      <c r="C78" s="32">
        <v>-7.7388999999999999E-2</v>
      </c>
      <c r="D78" s="2" t="s">
        <v>138</v>
      </c>
    </row>
    <row r="79" spans="2:4" x14ac:dyDescent="0.2">
      <c r="B79" t="s">
        <v>139</v>
      </c>
      <c r="C79" s="32">
        <v>-4.2736999999999997E-2</v>
      </c>
      <c r="D79" s="2" t="s">
        <v>140</v>
      </c>
    </row>
    <row r="80" spans="2:4" x14ac:dyDescent="0.2">
      <c r="B80" t="s">
        <v>141</v>
      </c>
      <c r="C80" s="24">
        <f>(IS!N7/IS!I7)^(1/5)-1</f>
        <v>3.4408603979305674E-2</v>
      </c>
    </row>
    <row r="81" spans="2:4" x14ac:dyDescent="0.2">
      <c r="B81" t="s">
        <v>142</v>
      </c>
      <c r="C81" s="32">
        <v>-0.166045</v>
      </c>
      <c r="D81" s="2" t="s">
        <v>143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E18"/>
  <sheetViews>
    <sheetView showGridLines="0" zoomScale="90" zoomScaleNormal="90" workbookViewId="0"/>
  </sheetViews>
  <sheetFormatPr defaultRowHeight="12.75" x14ac:dyDescent="0.2"/>
  <cols>
    <col min="1" max="1" width="2.7109375" customWidth="1"/>
    <col min="2" max="2" width="52.7109375" customWidth="1"/>
    <col min="3" max="5" width="12.7109375" customWidth="1"/>
    <col min="6" max="19" width="11.28515625" customWidth="1"/>
  </cols>
  <sheetData>
    <row r="1" spans="2:5" x14ac:dyDescent="0.2">
      <c r="B1" s="1" t="s">
        <v>144</v>
      </c>
    </row>
    <row r="2" spans="2:5" x14ac:dyDescent="0.2">
      <c r="B2" s="2" t="s">
        <v>1</v>
      </c>
    </row>
    <row r="5" spans="2:5" x14ac:dyDescent="0.2">
      <c r="B5" s="3" t="s">
        <v>950</v>
      </c>
      <c r="C5" s="3" t="s">
        <v>951</v>
      </c>
      <c r="D5" s="3" t="s">
        <v>952</v>
      </c>
      <c r="E5" s="3" t="s">
        <v>953</v>
      </c>
    </row>
    <row r="6" spans="2:5" x14ac:dyDescent="0.2">
      <c r="B6" t="s">
        <v>954</v>
      </c>
      <c r="C6" s="36">
        <v>73.39</v>
      </c>
      <c r="D6" s="36">
        <v>141.19</v>
      </c>
      <c r="E6" s="27">
        <f t="shared" ref="E6:E13" si="0">MAX(0,D6-C6)</f>
        <v>67.8</v>
      </c>
    </row>
    <row r="7" spans="2:5" x14ac:dyDescent="0.2">
      <c r="B7" t="s">
        <v>955</v>
      </c>
      <c r="C7" s="36">
        <v>95</v>
      </c>
      <c r="D7" s="36">
        <v>163</v>
      </c>
      <c r="E7" s="27">
        <f t="shared" si="0"/>
        <v>68</v>
      </c>
    </row>
    <row r="8" spans="2:5" x14ac:dyDescent="0.2">
      <c r="B8" t="s">
        <v>956</v>
      </c>
      <c r="C8" s="20">
        <f>Comps_EV_Low</f>
        <v>144.05875911911704</v>
      </c>
      <c r="D8" s="20">
        <f>Comps_EV_High</f>
        <v>179.69869532565247</v>
      </c>
      <c r="E8" s="27">
        <f t="shared" si="0"/>
        <v>35.639936206535424</v>
      </c>
    </row>
    <row r="9" spans="2:5" x14ac:dyDescent="0.2">
      <c r="B9" t="s">
        <v>957</v>
      </c>
      <c r="C9" s="20">
        <f ca="1">Comps_PE_Low</f>
        <v>173.61888207517038</v>
      </c>
      <c r="D9" s="20">
        <f ca="1">Comps_PE_High</f>
        <v>225.18998767018923</v>
      </c>
      <c r="E9" s="27">
        <f t="shared" ca="1" si="0"/>
        <v>51.571105595018849</v>
      </c>
    </row>
    <row r="10" spans="2:5" x14ac:dyDescent="0.2">
      <c r="B10" t="s">
        <v>958</v>
      </c>
      <c r="C10" s="20">
        <f>Prec_Low</f>
        <v>163.60386363274111</v>
      </c>
      <c r="D10" s="20">
        <f>Prec_High</f>
        <v>213.43352857234021</v>
      </c>
      <c r="E10" s="27">
        <f t="shared" si="0"/>
        <v>49.829664939599098</v>
      </c>
    </row>
    <row r="11" spans="2:5" x14ac:dyDescent="0.2">
      <c r="B11" t="s">
        <v>959</v>
      </c>
      <c r="C11" s="20">
        <f ca="1">LBO_Px25</f>
        <v>135.47042675431967</v>
      </c>
      <c r="D11" s="20">
        <f ca="1">LBO_Px20</f>
        <v>149.63484167361182</v>
      </c>
      <c r="E11" s="27">
        <f t="shared" ca="1" si="0"/>
        <v>14.164414919292142</v>
      </c>
    </row>
    <row r="12" spans="2:5" x14ac:dyDescent="0.2">
      <c r="B12" t="s">
        <v>960</v>
      </c>
      <c r="C12" s="20">
        <f>DCF_Bear</f>
        <v>113.57526125324635</v>
      </c>
      <c r="D12" s="20">
        <f>DCF_Bull</f>
        <v>306.64159849058547</v>
      </c>
      <c r="E12" s="27">
        <f t="shared" si="0"/>
        <v>193.0663372373391</v>
      </c>
    </row>
    <row r="13" spans="2:5" x14ac:dyDescent="0.2">
      <c r="B13" t="s">
        <v>961</v>
      </c>
      <c r="C13" s="27">
        <f ca="1">MIN(Sensitivity!D11:F15)</f>
        <v>184.78568447324619</v>
      </c>
      <c r="D13" s="27">
        <f ca="1">MAX(Sensitivity!D11:F15)</f>
        <v>281.09756956915538</v>
      </c>
      <c r="E13" s="27">
        <f t="shared" ca="1" si="0"/>
        <v>96.31188509590919</v>
      </c>
    </row>
    <row r="15" spans="2:5" x14ac:dyDescent="0.2">
      <c r="B15" s="1" t="s">
        <v>962</v>
      </c>
      <c r="C15" s="20">
        <f>SharePrice</f>
        <v>118.54</v>
      </c>
    </row>
    <row r="16" spans="2:5" x14ac:dyDescent="0.2">
      <c r="B16" s="1" t="s">
        <v>963</v>
      </c>
      <c r="C16" s="20">
        <f ca="1">PriceTarget</f>
        <v>190</v>
      </c>
    </row>
    <row r="17" spans="2:3" x14ac:dyDescent="0.2">
      <c r="B17" s="1" t="s">
        <v>755</v>
      </c>
      <c r="C17" s="1" t="str">
        <f ca="1">Rating</f>
        <v>BUY</v>
      </c>
    </row>
    <row r="18" spans="2:3" x14ac:dyDescent="0.2">
      <c r="B18" s="2" t="str">
        <f ca="1">"Value per share by method (US$)  |  price "&amp;TEXT(SharePrice,"$0.00")&amp;"  |  price target "&amp;TEXT(PriceTarget,"$0")</f>
        <v>Value per share by method (US$)  |  price $118.54  |  price target $190</v>
      </c>
    </row>
  </sheetData>
  <pageMargins left="0.4" right="0.4" top="0.5" bottom="0.5" header="0.3" footer="0.3"/>
  <pageSetup paperSize="9" orientation="landscape"/>
  <headerFooter>
    <oddFooter>&amp;LCrocs, Inc. (CROX) valuation model&amp;C&amp;A&amp;RPage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S108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55.7109375" customWidth="1"/>
    <col min="5" max="19" width="11.28515625" customWidth="1"/>
  </cols>
  <sheetData>
    <row r="1" spans="2:19" x14ac:dyDescent="0.2">
      <c r="B1" s="1" t="s">
        <v>145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 t="s">
        <v>146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147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t="s">
        <v>148</v>
      </c>
      <c r="D7" s="2" t="s">
        <v>149</v>
      </c>
      <c r="E7" s="14">
        <v>1</v>
      </c>
    </row>
    <row r="8" spans="2:19" x14ac:dyDescent="0.2">
      <c r="B8" t="s">
        <v>150</v>
      </c>
      <c r="D8" s="2" t="s">
        <v>151</v>
      </c>
      <c r="E8" s="14">
        <v>1</v>
      </c>
    </row>
    <row r="9" spans="2:19" x14ac:dyDescent="0.2">
      <c r="B9" t="s">
        <v>152</v>
      </c>
      <c r="D9" s="2" t="s">
        <v>153</v>
      </c>
      <c r="E9" s="36">
        <v>118.54</v>
      </c>
    </row>
    <row r="10" spans="2:19" x14ac:dyDescent="0.2">
      <c r="B10" t="s">
        <v>154</v>
      </c>
      <c r="D10" s="2" t="s">
        <v>155</v>
      </c>
      <c r="E10" s="34">
        <v>47.945</v>
      </c>
    </row>
    <row r="11" spans="2:19" x14ac:dyDescent="0.2">
      <c r="B11" t="s">
        <v>156</v>
      </c>
      <c r="D11" s="2" t="s">
        <v>157</v>
      </c>
      <c r="E11" s="14">
        <v>1</v>
      </c>
    </row>
    <row r="12" spans="2:19" x14ac:dyDescent="0.2">
      <c r="B12" t="s">
        <v>158</v>
      </c>
      <c r="D12" s="2" t="s">
        <v>159</v>
      </c>
      <c r="E12" s="14">
        <v>1</v>
      </c>
    </row>
    <row r="13" spans="2:19" x14ac:dyDescent="0.2">
      <c r="B13" t="s">
        <v>160</v>
      </c>
      <c r="D13" s="2" t="s">
        <v>161</v>
      </c>
      <c r="E13" s="32">
        <v>0.08</v>
      </c>
    </row>
    <row r="14" spans="2:19" x14ac:dyDescent="0.2">
      <c r="B14" t="s">
        <v>162</v>
      </c>
      <c r="D14" s="2" t="s">
        <v>163</v>
      </c>
      <c r="E14" s="35">
        <v>150</v>
      </c>
    </row>
    <row r="15" spans="2:19" x14ac:dyDescent="0.2">
      <c r="B15" t="s">
        <v>164</v>
      </c>
      <c r="E15" s="32">
        <v>0.03</v>
      </c>
    </row>
    <row r="16" spans="2:19" x14ac:dyDescent="0.2">
      <c r="B16" t="s">
        <v>165</v>
      </c>
      <c r="D16" s="2" t="s">
        <v>166</v>
      </c>
      <c r="E16" s="35">
        <v>1000</v>
      </c>
    </row>
    <row r="17" spans="2:19" x14ac:dyDescent="0.2">
      <c r="B17" t="s">
        <v>167</v>
      </c>
      <c r="D17" s="2" t="s">
        <v>168</v>
      </c>
      <c r="E17" s="32">
        <v>1.4999999999999999E-2</v>
      </c>
    </row>
    <row r="18" spans="2:19" x14ac:dyDescent="0.2">
      <c r="B18" t="s">
        <v>169</v>
      </c>
      <c r="E18" s="32">
        <v>2E-3</v>
      </c>
    </row>
    <row r="19" spans="2:19" x14ac:dyDescent="0.2">
      <c r="B19" t="s">
        <v>170</v>
      </c>
      <c r="D19" s="2" t="s">
        <v>171</v>
      </c>
      <c r="E19" s="32">
        <v>2.2499999999999999E-2</v>
      </c>
    </row>
    <row r="20" spans="2:19" x14ac:dyDescent="0.2">
      <c r="B20" t="s">
        <v>172</v>
      </c>
      <c r="D20" s="2" t="s">
        <v>173</v>
      </c>
      <c r="E20" s="32">
        <v>1</v>
      </c>
    </row>
    <row r="21" spans="2:19" x14ac:dyDescent="0.2">
      <c r="B21" t="s">
        <v>174</v>
      </c>
      <c r="D21" s="2" t="s">
        <v>175</v>
      </c>
      <c r="E21" s="32">
        <v>4.2500000000000003E-2</v>
      </c>
    </row>
    <row r="22" spans="2:19" x14ac:dyDescent="0.2">
      <c r="B22" t="s">
        <v>176</v>
      </c>
      <c r="D22" s="2" t="s">
        <v>175</v>
      </c>
      <c r="E22" s="32">
        <v>4.1250000000000002E-2</v>
      </c>
    </row>
    <row r="23" spans="2:19" x14ac:dyDescent="0.2">
      <c r="B23" t="s">
        <v>177</v>
      </c>
      <c r="D23" s="2" t="s">
        <v>178</v>
      </c>
      <c r="E23" s="14">
        <v>1</v>
      </c>
    </row>
    <row r="24" spans="2:19" x14ac:dyDescent="0.2">
      <c r="B24" t="s">
        <v>179</v>
      </c>
      <c r="D24" s="2" t="s">
        <v>180</v>
      </c>
      <c r="E24" s="32">
        <v>5.7500000000000002E-2</v>
      </c>
    </row>
    <row r="25" spans="2:19" x14ac:dyDescent="0.2">
      <c r="B25" t="s">
        <v>181</v>
      </c>
      <c r="D25" s="2" t="s">
        <v>182</v>
      </c>
      <c r="E25" s="35">
        <v>9</v>
      </c>
    </row>
    <row r="26" spans="2:19" x14ac:dyDescent="0.2">
      <c r="B26" t="s">
        <v>183</v>
      </c>
      <c r="D26" s="2" t="s">
        <v>184</v>
      </c>
      <c r="E26" s="34">
        <v>0.4</v>
      </c>
    </row>
    <row r="27" spans="2:19" x14ac:dyDescent="0.2">
      <c r="B27" t="s">
        <v>185</v>
      </c>
      <c r="D27" s="2" t="s">
        <v>186</v>
      </c>
      <c r="E27" s="34">
        <v>0.4</v>
      </c>
    </row>
    <row r="28" spans="2:19" x14ac:dyDescent="0.2">
      <c r="B28" t="s">
        <v>187</v>
      </c>
      <c r="D28" s="2" t="s">
        <v>188</v>
      </c>
      <c r="E28" s="37">
        <f>IF(ScenarioOverride=0,Scenario_Select,ScenarioOverride)</f>
        <v>1</v>
      </c>
    </row>
    <row r="29" spans="2:19" x14ac:dyDescent="0.2">
      <c r="B29" s="3" t="s">
        <v>189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2:19" x14ac:dyDescent="0.2">
      <c r="B30" s="1" t="s">
        <v>190</v>
      </c>
      <c r="D30" s="2" t="s">
        <v>191</v>
      </c>
      <c r="F30" s="38">
        <f>IFERROR(Rev_Build!F7/Rev_Build!E7-1,"n.m.")</f>
        <v>-4.4517449535025122E-2</v>
      </c>
      <c r="G30" s="38">
        <f>IFERROR(Rev_Build!G7/Rev_Build!F7-1,"n.m.")</f>
        <v>1.3548271927850131E-2</v>
      </c>
      <c r="H30" s="38">
        <f>IFERROR(Rev_Build!H7/Rev_Build!G7-1,"n.m.")</f>
        <v>-1.2913837808200768E-2</v>
      </c>
      <c r="I30" s="38">
        <f>IFERROR(Rev_Build!I7/Rev_Build!H7-1,"n.m.")</f>
        <v>-9.2836274322703471E-2</v>
      </c>
      <c r="J30" s="38">
        <f t="shared" ref="J30:S30" si="0">CHOOSE(Scenario,J31,J32,J33)+GrowthShift</f>
        <v>-0.1</v>
      </c>
      <c r="K30" s="38">
        <f t="shared" si="0"/>
        <v>-0.03</v>
      </c>
      <c r="L30" s="38">
        <f t="shared" si="0"/>
        <v>0</v>
      </c>
      <c r="M30" s="38">
        <f t="shared" si="0"/>
        <v>0.01</v>
      </c>
      <c r="N30" s="38">
        <f t="shared" si="0"/>
        <v>0.02</v>
      </c>
      <c r="O30" s="38">
        <f t="shared" si="0"/>
        <v>2.1000000000000001E-2</v>
      </c>
      <c r="P30" s="38">
        <f t="shared" si="0"/>
        <v>2.1999999999999999E-2</v>
      </c>
      <c r="Q30" s="38">
        <f t="shared" si="0"/>
        <v>2.3E-2</v>
      </c>
      <c r="R30" s="38">
        <f t="shared" si="0"/>
        <v>2.4E-2</v>
      </c>
      <c r="S30" s="38">
        <f t="shared" si="0"/>
        <v>2.5000000000000001E-2</v>
      </c>
    </row>
    <row r="31" spans="2:19" x14ac:dyDescent="0.2">
      <c r="B31" t="s">
        <v>192</v>
      </c>
      <c r="J31" s="32">
        <v>-0.1</v>
      </c>
      <c r="K31" s="32">
        <v>-0.03</v>
      </c>
      <c r="L31" s="32">
        <v>0</v>
      </c>
      <c r="M31" s="32">
        <v>0.01</v>
      </c>
      <c r="N31" s="32">
        <v>0.02</v>
      </c>
      <c r="O31" s="32">
        <v>2.1000000000000001E-2</v>
      </c>
      <c r="P31" s="32">
        <v>2.1999999999999999E-2</v>
      </c>
      <c r="Q31" s="32">
        <v>2.3E-2</v>
      </c>
      <c r="R31" s="32">
        <v>2.4E-2</v>
      </c>
      <c r="S31" s="32">
        <v>2.5000000000000001E-2</v>
      </c>
    </row>
    <row r="32" spans="2:19" x14ac:dyDescent="0.2">
      <c r="B32" t="s">
        <v>193</v>
      </c>
      <c r="J32" s="32">
        <v>-0.08</v>
      </c>
      <c r="K32" s="32">
        <v>0.01</v>
      </c>
      <c r="L32" s="32">
        <v>0.03</v>
      </c>
      <c r="M32" s="32">
        <v>0.03</v>
      </c>
      <c r="N32" s="32">
        <v>0.03</v>
      </c>
      <c r="O32" s="32">
        <v>0.03</v>
      </c>
      <c r="P32" s="32">
        <v>0.03</v>
      </c>
      <c r="Q32" s="32">
        <v>0.03</v>
      </c>
      <c r="R32" s="32">
        <v>0.03</v>
      </c>
      <c r="S32" s="32">
        <v>0.03</v>
      </c>
    </row>
    <row r="33" spans="2:19" x14ac:dyDescent="0.2">
      <c r="B33" t="s">
        <v>194</v>
      </c>
      <c r="J33" s="32">
        <v>-0.12</v>
      </c>
      <c r="K33" s="32">
        <v>-0.08</v>
      </c>
      <c r="L33" s="32">
        <v>-0.05</v>
      </c>
      <c r="M33" s="32">
        <v>-0.03</v>
      </c>
      <c r="N33" s="32">
        <v>-0.02</v>
      </c>
      <c r="O33" s="32">
        <v>-1.4E-2</v>
      </c>
      <c r="P33" s="32">
        <v>-8.0000000000000002E-3</v>
      </c>
      <c r="Q33" s="32">
        <v>-2E-3</v>
      </c>
      <c r="R33" s="32">
        <v>4.0000000000000001E-3</v>
      </c>
      <c r="S33" s="32">
        <v>0.01</v>
      </c>
    </row>
    <row r="34" spans="2:19" x14ac:dyDescent="0.2">
      <c r="B34" s="1" t="s">
        <v>195</v>
      </c>
      <c r="D34" s="2" t="s">
        <v>196</v>
      </c>
      <c r="F34" s="38">
        <f>IFERROR(Rev_Build!F9/Rev_Build!E9-1,"n.m.")</f>
        <v>0.13719042271195847</v>
      </c>
      <c r="G34" s="38">
        <f>IFERROR(Rev_Build!G9/Rev_Build!F9-1,"n.m.")</f>
        <v>0.1244461192614057</v>
      </c>
      <c r="H34" s="38">
        <f>IFERROR(Rev_Build!H9/Rev_Build!G9-1,"n.m.")</f>
        <v>5.6864265002106729E-2</v>
      </c>
      <c r="I34" s="38">
        <f>IFERROR(Rev_Build!I9/Rev_Build!H9-1,"n.m.")</f>
        <v>-5.3791242574086628E-2</v>
      </c>
      <c r="J34" s="38">
        <f t="shared" ref="J34:S34" si="1">CHOOSE(Scenario,J35,J36,J37)+GrowthShift</f>
        <v>0.03</v>
      </c>
      <c r="K34" s="38">
        <f t="shared" si="1"/>
        <v>0.03</v>
      </c>
      <c r="L34" s="38">
        <f t="shared" si="1"/>
        <v>0.03</v>
      </c>
      <c r="M34" s="38">
        <f t="shared" si="1"/>
        <v>0.03</v>
      </c>
      <c r="N34" s="38">
        <f t="shared" si="1"/>
        <v>0.03</v>
      </c>
      <c r="O34" s="38">
        <f t="shared" si="1"/>
        <v>2.9000000000000001E-2</v>
      </c>
      <c r="P34" s="38">
        <f t="shared" si="1"/>
        <v>2.8000000000000001E-2</v>
      </c>
      <c r="Q34" s="38">
        <f t="shared" si="1"/>
        <v>2.7E-2</v>
      </c>
      <c r="R34" s="38">
        <f t="shared" si="1"/>
        <v>2.5999999999999999E-2</v>
      </c>
      <c r="S34" s="38">
        <f t="shared" si="1"/>
        <v>2.5000000000000001E-2</v>
      </c>
    </row>
    <row r="35" spans="2:19" x14ac:dyDescent="0.2">
      <c r="B35" t="s">
        <v>192</v>
      </c>
      <c r="J35" s="32">
        <v>0.03</v>
      </c>
      <c r="K35" s="32">
        <v>0.03</v>
      </c>
      <c r="L35" s="32">
        <v>0.03</v>
      </c>
      <c r="M35" s="32">
        <v>0.03</v>
      </c>
      <c r="N35" s="32">
        <v>0.03</v>
      </c>
      <c r="O35" s="32">
        <v>2.9000000000000001E-2</v>
      </c>
      <c r="P35" s="32">
        <v>2.8000000000000001E-2</v>
      </c>
      <c r="Q35" s="32">
        <v>2.7E-2</v>
      </c>
      <c r="R35" s="32">
        <v>2.5999999999999999E-2</v>
      </c>
      <c r="S35" s="32">
        <v>2.5000000000000001E-2</v>
      </c>
    </row>
    <row r="36" spans="2:19" x14ac:dyDescent="0.2">
      <c r="B36" t="s">
        <v>193</v>
      </c>
      <c r="J36" s="32">
        <v>0.05</v>
      </c>
      <c r="K36" s="32">
        <v>0.05</v>
      </c>
      <c r="L36" s="32">
        <v>0.04</v>
      </c>
      <c r="M36" s="32">
        <v>0.04</v>
      </c>
      <c r="N36" s="32">
        <v>0.04</v>
      </c>
      <c r="O36" s="32">
        <v>3.7999999999999999E-2</v>
      </c>
      <c r="P36" s="32">
        <v>3.5999999999999997E-2</v>
      </c>
      <c r="Q36" s="32">
        <v>3.4000000000000002E-2</v>
      </c>
      <c r="R36" s="32">
        <v>3.2000000000000001E-2</v>
      </c>
      <c r="S36" s="32">
        <v>0.03</v>
      </c>
    </row>
    <row r="37" spans="2:19" x14ac:dyDescent="0.2">
      <c r="B37" t="s">
        <v>194</v>
      </c>
      <c r="J37" s="32">
        <v>0.01</v>
      </c>
      <c r="K37" s="32">
        <v>-0.02</v>
      </c>
      <c r="L37" s="32">
        <v>-0.02</v>
      </c>
      <c r="M37" s="32">
        <v>0</v>
      </c>
      <c r="N37" s="32">
        <v>0.01</v>
      </c>
      <c r="O37" s="32">
        <v>1.0999999999999999E-2</v>
      </c>
      <c r="P37" s="32">
        <v>1.2E-2</v>
      </c>
      <c r="Q37" s="32">
        <v>1.2999999999999999E-2</v>
      </c>
      <c r="R37" s="32">
        <v>1.4E-2</v>
      </c>
      <c r="S37" s="32">
        <v>1.4999999999999999E-2</v>
      </c>
    </row>
    <row r="38" spans="2:19" x14ac:dyDescent="0.2">
      <c r="B38" s="1" t="s">
        <v>197</v>
      </c>
      <c r="D38" s="2" t="s">
        <v>198</v>
      </c>
      <c r="F38" s="38">
        <f>IFERROR(Rev_Build!F11/Rev_Build!E11-1,"n.m.")</f>
        <v>0.46661105009292769</v>
      </c>
      <c r="G38" s="38">
        <f>IFERROR(Rev_Build!G11/Rev_Build!F11-1,"n.m.")</f>
        <v>0.14664971551807637</v>
      </c>
      <c r="H38" s="38">
        <f>IFERROR(Rev_Build!H11/Rev_Build!G11-1,"n.m.")</f>
        <v>0.14566009274394043</v>
      </c>
      <c r="I38" s="38">
        <f>IFERROR(Rev_Build!I11/Rev_Build!H11-1,"n.m.")</f>
        <v>5.3644986942323003E-2</v>
      </c>
      <c r="J38" s="38">
        <f t="shared" ref="J38:S38" si="2">CHOOSE(Scenario,J39,J40,J41)+GrowthShift</f>
        <v>0</v>
      </c>
      <c r="K38" s="38">
        <f t="shared" si="2"/>
        <v>0.04</v>
      </c>
      <c r="L38" s="38">
        <f t="shared" si="2"/>
        <v>0.05</v>
      </c>
      <c r="M38" s="38">
        <f t="shared" si="2"/>
        <v>0.05</v>
      </c>
      <c r="N38" s="38">
        <f t="shared" si="2"/>
        <v>0.04</v>
      </c>
      <c r="O38" s="38">
        <f t="shared" si="2"/>
        <v>3.7999999999999999E-2</v>
      </c>
      <c r="P38" s="38">
        <f t="shared" si="2"/>
        <v>3.5999999999999997E-2</v>
      </c>
      <c r="Q38" s="38">
        <f t="shared" si="2"/>
        <v>3.4000000000000002E-2</v>
      </c>
      <c r="R38" s="38">
        <f t="shared" si="2"/>
        <v>3.2000000000000001E-2</v>
      </c>
      <c r="S38" s="38">
        <f t="shared" si="2"/>
        <v>0.03</v>
      </c>
    </row>
    <row r="39" spans="2:19" x14ac:dyDescent="0.2">
      <c r="B39" t="s">
        <v>192</v>
      </c>
      <c r="J39" s="32">
        <v>0</v>
      </c>
      <c r="K39" s="32">
        <v>0.04</v>
      </c>
      <c r="L39" s="32">
        <v>0.05</v>
      </c>
      <c r="M39" s="32">
        <v>0.05</v>
      </c>
      <c r="N39" s="32">
        <v>0.04</v>
      </c>
      <c r="O39" s="32">
        <v>3.7999999999999999E-2</v>
      </c>
      <c r="P39" s="32">
        <v>3.5999999999999997E-2</v>
      </c>
      <c r="Q39" s="32">
        <v>3.4000000000000002E-2</v>
      </c>
      <c r="R39" s="32">
        <v>3.2000000000000001E-2</v>
      </c>
      <c r="S39" s="32">
        <v>0.03</v>
      </c>
    </row>
    <row r="40" spans="2:19" x14ac:dyDescent="0.2">
      <c r="B40" t="s">
        <v>193</v>
      </c>
      <c r="J40" s="32">
        <v>0.02</v>
      </c>
      <c r="K40" s="32">
        <v>7.0000000000000007E-2</v>
      </c>
      <c r="L40" s="32">
        <v>7.0000000000000007E-2</v>
      </c>
      <c r="M40" s="32">
        <v>0.06</v>
      </c>
      <c r="N40" s="32">
        <v>0.05</v>
      </c>
      <c r="O40" s="32">
        <v>4.7E-2</v>
      </c>
      <c r="P40" s="32">
        <v>4.3999999999999997E-2</v>
      </c>
      <c r="Q40" s="32">
        <v>4.1000000000000002E-2</v>
      </c>
      <c r="R40" s="32">
        <v>3.7999999999999999E-2</v>
      </c>
      <c r="S40" s="32">
        <v>3.5000000000000003E-2</v>
      </c>
    </row>
    <row r="41" spans="2:19" x14ac:dyDescent="0.2">
      <c r="B41" t="s">
        <v>194</v>
      </c>
      <c r="J41" s="32">
        <v>-0.03</v>
      </c>
      <c r="K41" s="32">
        <v>-0.02</v>
      </c>
      <c r="L41" s="32">
        <v>0.01</v>
      </c>
      <c r="M41" s="32">
        <v>0.02</v>
      </c>
      <c r="N41" s="32">
        <v>0.02</v>
      </c>
      <c r="O41" s="32">
        <v>0.02</v>
      </c>
      <c r="P41" s="32">
        <v>0.02</v>
      </c>
      <c r="Q41" s="32">
        <v>0.02</v>
      </c>
      <c r="R41" s="32">
        <v>0.02</v>
      </c>
      <c r="S41" s="32">
        <v>0.02</v>
      </c>
    </row>
    <row r="42" spans="2:19" x14ac:dyDescent="0.2">
      <c r="B42" s="1" t="s">
        <v>199</v>
      </c>
      <c r="D42" s="2" t="s">
        <v>200</v>
      </c>
      <c r="F42" s="38">
        <f>IFERROR(Rev_Build!F13/Rev_Build!E13-1,"n.m.")</f>
        <v>8.396029076956868E-2</v>
      </c>
      <c r="G42" s="38">
        <f>IFERROR(Rev_Build!G13/Rev_Build!F13-1,"n.m.")</f>
        <v>0.4019198100802468</v>
      </c>
      <c r="H42" s="38">
        <f>IFERROR(Rev_Build!H13/Rev_Build!G13-1,"n.m.")</f>
        <v>0.22063502123074974</v>
      </c>
      <c r="I42" s="38">
        <f>IFERROR(Rev_Build!I13/Rev_Build!H13-1,"n.m.")</f>
        <v>0.24914331997258632</v>
      </c>
      <c r="J42" s="38">
        <f t="shared" ref="J42:S42" si="3">CHOOSE(Scenario,J43,J44,J45)+GrowthShift</f>
        <v>0.18</v>
      </c>
      <c r="K42" s="38">
        <f t="shared" si="3"/>
        <v>0.12</v>
      </c>
      <c r="L42" s="38">
        <f t="shared" si="3"/>
        <v>0.1</v>
      </c>
      <c r="M42" s="38">
        <f t="shared" si="3"/>
        <v>0.08</v>
      </c>
      <c r="N42" s="38">
        <f t="shared" si="3"/>
        <v>7.0000000000000007E-2</v>
      </c>
      <c r="O42" s="38">
        <f t="shared" si="3"/>
        <v>6.3E-2</v>
      </c>
      <c r="P42" s="38">
        <f t="shared" si="3"/>
        <v>5.6000000000000001E-2</v>
      </c>
      <c r="Q42" s="38">
        <f t="shared" si="3"/>
        <v>4.9000000000000002E-2</v>
      </c>
      <c r="R42" s="38">
        <f t="shared" si="3"/>
        <v>4.2000000000000003E-2</v>
      </c>
      <c r="S42" s="38">
        <f t="shared" si="3"/>
        <v>3.5000000000000003E-2</v>
      </c>
    </row>
    <row r="43" spans="2:19" x14ac:dyDescent="0.2">
      <c r="B43" t="s">
        <v>192</v>
      </c>
      <c r="J43" s="32">
        <v>0.18</v>
      </c>
      <c r="K43" s="32">
        <v>0.12</v>
      </c>
      <c r="L43" s="32">
        <v>0.1</v>
      </c>
      <c r="M43" s="32">
        <v>0.08</v>
      </c>
      <c r="N43" s="32">
        <v>7.0000000000000007E-2</v>
      </c>
      <c r="O43" s="32">
        <v>6.3E-2</v>
      </c>
      <c r="P43" s="32">
        <v>5.6000000000000001E-2</v>
      </c>
      <c r="Q43" s="32">
        <v>4.9000000000000002E-2</v>
      </c>
      <c r="R43" s="32">
        <v>4.2000000000000003E-2</v>
      </c>
      <c r="S43" s="32">
        <v>3.5000000000000003E-2</v>
      </c>
    </row>
    <row r="44" spans="2:19" x14ac:dyDescent="0.2">
      <c r="B44" t="s">
        <v>193</v>
      </c>
      <c r="J44" s="32">
        <v>0.2</v>
      </c>
      <c r="K44" s="32">
        <v>0.16</v>
      </c>
      <c r="L44" s="32">
        <v>0.14000000000000001</v>
      </c>
      <c r="M44" s="32">
        <v>0.12</v>
      </c>
      <c r="N44" s="32">
        <v>0.1</v>
      </c>
      <c r="O44" s="32">
        <v>8.8999999999999996E-2</v>
      </c>
      <c r="P44" s="32">
        <v>7.8E-2</v>
      </c>
      <c r="Q44" s="32">
        <v>6.7000000000000004E-2</v>
      </c>
      <c r="R44" s="32">
        <v>5.6000000000000001E-2</v>
      </c>
      <c r="S44" s="32">
        <v>4.4999999999999998E-2</v>
      </c>
    </row>
    <row r="45" spans="2:19" x14ac:dyDescent="0.2">
      <c r="B45" t="s">
        <v>194</v>
      </c>
      <c r="J45" s="32">
        <v>0.15</v>
      </c>
      <c r="K45" s="32">
        <v>0.06</v>
      </c>
      <c r="L45" s="32">
        <v>0.04</v>
      </c>
      <c r="M45" s="32">
        <v>0.03</v>
      </c>
      <c r="N45" s="32">
        <v>2.9166999999999998E-2</v>
      </c>
      <c r="O45" s="32">
        <v>2.8333000000000001E-2</v>
      </c>
      <c r="P45" s="32">
        <v>2.75E-2</v>
      </c>
      <c r="Q45" s="32">
        <v>2.6667E-2</v>
      </c>
      <c r="R45" s="32">
        <v>2.5832999999999998E-2</v>
      </c>
      <c r="S45" s="32">
        <v>2.5000000000000001E-2</v>
      </c>
    </row>
    <row r="46" spans="2:19" x14ac:dyDescent="0.2">
      <c r="B46" s="1" t="s">
        <v>201</v>
      </c>
      <c r="D46" s="2" t="s">
        <v>202</v>
      </c>
      <c r="G46" s="38">
        <f>IFERROR(Rev_Build!G20/Rev_Build!F20-1,"n.m.")</f>
        <v>-1.2545720555961926E-2</v>
      </c>
      <c r="H46" s="38">
        <f>IFERROR(Rev_Build!H20/Rev_Build!G20-1,"n.m.")</f>
        <v>-0.19484528263281464</v>
      </c>
      <c r="I46" s="38">
        <f>IFERROR(Rev_Build!I20/Rev_Build!H20-1,"n.m.")</f>
        <v>-0.26320781997581455</v>
      </c>
      <c r="J46" s="38">
        <f t="shared" ref="J46:S46" si="4">CHOOSE(Scenario,J47,J48,J49)+GrowthShift</f>
        <v>-0.15</v>
      </c>
      <c r="K46" s="38">
        <f t="shared" si="4"/>
        <v>-0.06</v>
      </c>
      <c r="L46" s="38">
        <f t="shared" si="4"/>
        <v>-0.02</v>
      </c>
      <c r="M46" s="38">
        <f t="shared" si="4"/>
        <v>0.01</v>
      </c>
      <c r="N46" s="38">
        <f t="shared" si="4"/>
        <v>0.02</v>
      </c>
      <c r="O46" s="38">
        <f t="shared" si="4"/>
        <v>2.1000000000000001E-2</v>
      </c>
      <c r="P46" s="38">
        <f t="shared" si="4"/>
        <v>2.1999999999999999E-2</v>
      </c>
      <c r="Q46" s="38">
        <f t="shared" si="4"/>
        <v>2.3E-2</v>
      </c>
      <c r="R46" s="38">
        <f t="shared" si="4"/>
        <v>2.4E-2</v>
      </c>
      <c r="S46" s="38">
        <f t="shared" si="4"/>
        <v>2.5000000000000001E-2</v>
      </c>
    </row>
    <row r="47" spans="2:19" x14ac:dyDescent="0.2">
      <c r="B47" t="s">
        <v>192</v>
      </c>
      <c r="J47" s="32">
        <v>-0.15</v>
      </c>
      <c r="K47" s="32">
        <v>-0.06</v>
      </c>
      <c r="L47" s="32">
        <v>-0.02</v>
      </c>
      <c r="M47" s="32">
        <v>0.01</v>
      </c>
      <c r="N47" s="32">
        <v>0.02</v>
      </c>
      <c r="O47" s="32">
        <v>2.1000000000000001E-2</v>
      </c>
      <c r="P47" s="32">
        <v>2.1999999999999999E-2</v>
      </c>
      <c r="Q47" s="32">
        <v>2.3E-2</v>
      </c>
      <c r="R47" s="32">
        <v>2.4E-2</v>
      </c>
      <c r="S47" s="32">
        <v>2.5000000000000001E-2</v>
      </c>
    </row>
    <row r="48" spans="2:19" x14ac:dyDescent="0.2">
      <c r="B48" t="s">
        <v>193</v>
      </c>
      <c r="J48" s="32">
        <v>-0.12</v>
      </c>
      <c r="K48" s="32">
        <v>0</v>
      </c>
      <c r="L48" s="32">
        <v>0.03</v>
      </c>
      <c r="M48" s="32">
        <v>0.04</v>
      </c>
      <c r="N48" s="32">
        <v>0.04</v>
      </c>
      <c r="O48" s="32">
        <v>3.7999999999999999E-2</v>
      </c>
      <c r="P48" s="32">
        <v>3.5999999999999997E-2</v>
      </c>
      <c r="Q48" s="32">
        <v>3.4000000000000002E-2</v>
      </c>
      <c r="R48" s="32">
        <v>3.2000000000000001E-2</v>
      </c>
      <c r="S48" s="32">
        <v>0.03</v>
      </c>
    </row>
    <row r="49" spans="2:19" x14ac:dyDescent="0.2">
      <c r="B49" t="s">
        <v>194</v>
      </c>
      <c r="J49" s="32">
        <v>-0.18</v>
      </c>
      <c r="K49" s="32">
        <v>-0.15</v>
      </c>
      <c r="L49" s="32">
        <v>-0.1</v>
      </c>
      <c r="M49" s="32">
        <v>-0.05</v>
      </c>
      <c r="N49" s="32">
        <v>-0.02</v>
      </c>
      <c r="O49" s="32">
        <v>-1.4E-2</v>
      </c>
      <c r="P49" s="32">
        <v>-8.0000000000000002E-3</v>
      </c>
      <c r="Q49" s="32">
        <v>-2E-3</v>
      </c>
      <c r="R49" s="32">
        <v>4.0000000000000001E-3</v>
      </c>
      <c r="S49" s="32">
        <v>0.01</v>
      </c>
    </row>
    <row r="50" spans="2:19" x14ac:dyDescent="0.2">
      <c r="B50" s="1" t="s">
        <v>203</v>
      </c>
      <c r="D50" s="2" t="s">
        <v>204</v>
      </c>
      <c r="G50" s="38">
        <f>IFERROR(Rev_Build!G22/Rev_Build!F22-1,"n.m.")</f>
        <v>0.18878527912470466</v>
      </c>
      <c r="H50" s="38">
        <f>IFERROR(Rev_Build!H22/Rev_Build!G22-1,"n.m.")</f>
        <v>-3.8663271069090399E-2</v>
      </c>
      <c r="I50" s="38">
        <f>IFERROR(Rev_Build!I22/Rev_Build!H22-1,"n.m.")</f>
        <v>2.9499359478226461E-2</v>
      </c>
      <c r="J50" s="38">
        <f t="shared" ref="J50:S50" si="5">CHOOSE(Scenario,J51,J52,J53)+GrowthShift</f>
        <v>0.08</v>
      </c>
      <c r="K50" s="38">
        <f t="shared" si="5"/>
        <v>0.04</v>
      </c>
      <c r="L50" s="38">
        <f t="shared" si="5"/>
        <v>0.03</v>
      </c>
      <c r="M50" s="38">
        <f t="shared" si="5"/>
        <v>2.9286E-2</v>
      </c>
      <c r="N50" s="38">
        <f t="shared" si="5"/>
        <v>2.8570999999999999E-2</v>
      </c>
      <c r="O50" s="38">
        <f t="shared" si="5"/>
        <v>2.7857E-2</v>
      </c>
      <c r="P50" s="38">
        <f t="shared" si="5"/>
        <v>2.7143E-2</v>
      </c>
      <c r="Q50" s="38">
        <f t="shared" si="5"/>
        <v>2.6429000000000001E-2</v>
      </c>
      <c r="R50" s="38">
        <f t="shared" si="5"/>
        <v>2.5714000000000001E-2</v>
      </c>
      <c r="S50" s="38">
        <f t="shared" si="5"/>
        <v>2.5000000000000001E-2</v>
      </c>
    </row>
    <row r="51" spans="2:19" x14ac:dyDescent="0.2">
      <c r="B51" t="s">
        <v>192</v>
      </c>
      <c r="J51" s="32">
        <v>0.08</v>
      </c>
      <c r="K51" s="32">
        <v>0.04</v>
      </c>
      <c r="L51" s="32">
        <v>0.03</v>
      </c>
      <c r="M51" s="32">
        <v>2.9286E-2</v>
      </c>
      <c r="N51" s="32">
        <v>2.8570999999999999E-2</v>
      </c>
      <c r="O51" s="32">
        <v>2.7857E-2</v>
      </c>
      <c r="P51" s="32">
        <v>2.7143E-2</v>
      </c>
      <c r="Q51" s="32">
        <v>2.6429000000000001E-2</v>
      </c>
      <c r="R51" s="32">
        <v>2.5714000000000001E-2</v>
      </c>
      <c r="S51" s="32">
        <v>2.5000000000000001E-2</v>
      </c>
    </row>
    <row r="52" spans="2:19" x14ac:dyDescent="0.2">
      <c r="B52" t="s">
        <v>193</v>
      </c>
      <c r="J52" s="32">
        <v>0.1</v>
      </c>
      <c r="K52" s="32">
        <v>7.0000000000000007E-2</v>
      </c>
      <c r="L52" s="32">
        <v>0.05</v>
      </c>
      <c r="M52" s="32">
        <v>4.4999999999999998E-2</v>
      </c>
      <c r="N52" s="32">
        <v>0.04</v>
      </c>
      <c r="O52" s="32">
        <v>3.7999999999999999E-2</v>
      </c>
      <c r="P52" s="32">
        <v>3.5999999999999997E-2</v>
      </c>
      <c r="Q52" s="32">
        <v>3.4000000000000002E-2</v>
      </c>
      <c r="R52" s="32">
        <v>3.2000000000000001E-2</v>
      </c>
      <c r="S52" s="32">
        <v>0.03</v>
      </c>
    </row>
    <row r="53" spans="2:19" x14ac:dyDescent="0.2">
      <c r="B53" t="s">
        <v>194</v>
      </c>
      <c r="J53" s="32">
        <v>0.05</v>
      </c>
      <c r="K53" s="32">
        <v>-0.03</v>
      </c>
      <c r="L53" s="32">
        <v>-0.03</v>
      </c>
      <c r="M53" s="32">
        <v>0</v>
      </c>
      <c r="N53" s="32">
        <v>0.01</v>
      </c>
      <c r="O53" s="32">
        <v>0.01</v>
      </c>
      <c r="P53" s="32">
        <v>0.01</v>
      </c>
      <c r="Q53" s="32">
        <v>0.01</v>
      </c>
      <c r="R53" s="32">
        <v>0.01</v>
      </c>
      <c r="S53" s="32">
        <v>0.01</v>
      </c>
    </row>
    <row r="54" spans="2:19" x14ac:dyDescent="0.2">
      <c r="B54" s="3" t="s">
        <v>205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spans="2:19" x14ac:dyDescent="0.2">
      <c r="B55" s="1" t="s">
        <v>206</v>
      </c>
      <c r="D55" s="2" t="s">
        <v>207</v>
      </c>
      <c r="F55" s="38">
        <f>1-Hist!F91/Hist!F90</f>
        <v>0.56324956517651481</v>
      </c>
      <c r="G55" s="38">
        <f>1-Hist!G91/Hist!G90</f>
        <v>0.5998378999480245</v>
      </c>
      <c r="H55" s="38">
        <f>1-Hist!H91/Hist!H90</f>
        <v>0.61600376086763531</v>
      </c>
      <c r="I55" s="38">
        <f>1-Hist!I91/Hist!I90</f>
        <v>0.61289184850473888</v>
      </c>
      <c r="J55" s="38">
        <f t="shared" ref="J55:S55" si="6">CHOOSE(Scenario,J56,J57,J58)+GMShift</f>
        <v>0.61</v>
      </c>
      <c r="K55" s="38">
        <f t="shared" si="6"/>
        <v>0.61</v>
      </c>
      <c r="L55" s="38">
        <f t="shared" si="6"/>
        <v>0.61</v>
      </c>
      <c r="M55" s="38">
        <f t="shared" si="6"/>
        <v>0.61</v>
      </c>
      <c r="N55" s="38">
        <f t="shared" si="6"/>
        <v>0.61</v>
      </c>
      <c r="O55" s="38">
        <f t="shared" si="6"/>
        <v>0.61</v>
      </c>
      <c r="P55" s="38">
        <f t="shared" si="6"/>
        <v>0.61</v>
      </c>
      <c r="Q55" s="38">
        <f t="shared" si="6"/>
        <v>0.61</v>
      </c>
      <c r="R55" s="38">
        <f t="shared" si="6"/>
        <v>0.61</v>
      </c>
      <c r="S55" s="38">
        <f t="shared" si="6"/>
        <v>0.61</v>
      </c>
    </row>
    <row r="56" spans="2:19" x14ac:dyDescent="0.2">
      <c r="B56" t="s">
        <v>192</v>
      </c>
      <c r="J56" s="32">
        <v>0.61</v>
      </c>
      <c r="K56" s="32">
        <v>0.61</v>
      </c>
      <c r="L56" s="32">
        <v>0.61</v>
      </c>
      <c r="M56" s="32">
        <v>0.61</v>
      </c>
      <c r="N56" s="32">
        <v>0.61</v>
      </c>
      <c r="O56" s="32">
        <v>0.61</v>
      </c>
      <c r="P56" s="32">
        <v>0.61</v>
      </c>
      <c r="Q56" s="32">
        <v>0.61</v>
      </c>
      <c r="R56" s="32">
        <v>0.61</v>
      </c>
      <c r="S56" s="32">
        <v>0.61</v>
      </c>
    </row>
    <row r="57" spans="2:19" x14ac:dyDescent="0.2">
      <c r="B57" t="s">
        <v>193</v>
      </c>
      <c r="J57" s="32">
        <v>0.61499999999999999</v>
      </c>
      <c r="K57" s="32">
        <v>0.61750000000000005</v>
      </c>
      <c r="L57" s="32">
        <v>0.62</v>
      </c>
      <c r="M57" s="32">
        <v>0.62</v>
      </c>
      <c r="N57" s="32">
        <v>0.62</v>
      </c>
      <c r="O57" s="32">
        <v>0.62</v>
      </c>
      <c r="P57" s="32">
        <v>0.62</v>
      </c>
      <c r="Q57" s="32">
        <v>0.62</v>
      </c>
      <c r="R57" s="32">
        <v>0.62</v>
      </c>
      <c r="S57" s="32">
        <v>0.62</v>
      </c>
    </row>
    <row r="58" spans="2:19" x14ac:dyDescent="0.2">
      <c r="B58" t="s">
        <v>194</v>
      </c>
      <c r="J58" s="32">
        <v>0.6</v>
      </c>
      <c r="K58" s="32">
        <v>0.59499999999999997</v>
      </c>
      <c r="L58" s="32">
        <v>0.59</v>
      </c>
      <c r="M58" s="32">
        <v>0.59</v>
      </c>
      <c r="N58" s="32">
        <v>0.59</v>
      </c>
      <c r="O58" s="32">
        <v>0.59</v>
      </c>
      <c r="P58" s="32">
        <v>0.59</v>
      </c>
      <c r="Q58" s="32">
        <v>0.59</v>
      </c>
      <c r="R58" s="32">
        <v>0.59</v>
      </c>
      <c r="S58" s="32">
        <v>0.59</v>
      </c>
    </row>
    <row r="59" spans="2:19" x14ac:dyDescent="0.2">
      <c r="B59" s="1" t="s">
        <v>208</v>
      </c>
      <c r="D59" s="2" t="s">
        <v>209</v>
      </c>
      <c r="F59" s="38">
        <f>1-Hist!F95/Hist!F94</f>
        <v>0.40832384524367649</v>
      </c>
      <c r="G59" s="38">
        <f>1-Hist!G95/Hist!G94</f>
        <v>0.44025919719231132</v>
      </c>
      <c r="H59" s="38">
        <f>1-Hist!H95/Hist!H94</f>
        <v>0.47716106831233973</v>
      </c>
      <c r="I59" s="38">
        <f>1-Hist!I95/Hist!I94</f>
        <v>0.44770158357114875</v>
      </c>
      <c r="J59" s="38">
        <f t="shared" ref="J59:S59" si="7">CHOOSE(Scenario,J60,J61,J62)+GMShift</f>
        <v>0.42</v>
      </c>
      <c r="K59" s="38">
        <f t="shared" si="7"/>
        <v>0.43</v>
      </c>
      <c r="L59" s="38">
        <f t="shared" si="7"/>
        <v>0.44</v>
      </c>
      <c r="M59" s="38">
        <f t="shared" si="7"/>
        <v>0.44</v>
      </c>
      <c r="N59" s="38">
        <f t="shared" si="7"/>
        <v>0.44</v>
      </c>
      <c r="O59" s="38">
        <f t="shared" si="7"/>
        <v>0.44</v>
      </c>
      <c r="P59" s="38">
        <f t="shared" si="7"/>
        <v>0.44</v>
      </c>
      <c r="Q59" s="38">
        <f t="shared" si="7"/>
        <v>0.44</v>
      </c>
      <c r="R59" s="38">
        <f t="shared" si="7"/>
        <v>0.44</v>
      </c>
      <c r="S59" s="38">
        <f t="shared" si="7"/>
        <v>0.44</v>
      </c>
    </row>
    <row r="60" spans="2:19" x14ac:dyDescent="0.2">
      <c r="B60" t="s">
        <v>192</v>
      </c>
      <c r="J60" s="32">
        <v>0.42</v>
      </c>
      <c r="K60" s="32">
        <v>0.43</v>
      </c>
      <c r="L60" s="32">
        <v>0.44</v>
      </c>
      <c r="M60" s="32">
        <v>0.44</v>
      </c>
      <c r="N60" s="32">
        <v>0.44</v>
      </c>
      <c r="O60" s="32">
        <v>0.44</v>
      </c>
      <c r="P60" s="32">
        <v>0.44</v>
      </c>
      <c r="Q60" s="32">
        <v>0.44</v>
      </c>
      <c r="R60" s="32">
        <v>0.44</v>
      </c>
      <c r="S60" s="32">
        <v>0.44</v>
      </c>
    </row>
    <row r="61" spans="2:19" x14ac:dyDescent="0.2">
      <c r="B61" t="s">
        <v>193</v>
      </c>
      <c r="J61" s="32">
        <v>0.43</v>
      </c>
      <c r="K61" s="32">
        <v>0.44500000000000001</v>
      </c>
      <c r="L61" s="32">
        <v>0.45250000000000001</v>
      </c>
      <c r="M61" s="32">
        <v>0.46</v>
      </c>
      <c r="N61" s="32">
        <v>0.46</v>
      </c>
      <c r="O61" s="32">
        <v>0.46</v>
      </c>
      <c r="P61" s="32">
        <v>0.46</v>
      </c>
      <c r="Q61" s="32">
        <v>0.46</v>
      </c>
      <c r="R61" s="32">
        <v>0.46</v>
      </c>
      <c r="S61" s="32">
        <v>0.46</v>
      </c>
    </row>
    <row r="62" spans="2:19" x14ac:dyDescent="0.2">
      <c r="B62" t="s">
        <v>194</v>
      </c>
      <c r="J62" s="32">
        <v>0.41</v>
      </c>
      <c r="K62" s="32">
        <v>0.40500000000000003</v>
      </c>
      <c r="L62" s="32">
        <v>0.4</v>
      </c>
      <c r="M62" s="32">
        <v>0.4</v>
      </c>
      <c r="N62" s="32">
        <v>0.4</v>
      </c>
      <c r="O62" s="32">
        <v>0.4</v>
      </c>
      <c r="P62" s="32">
        <v>0.4</v>
      </c>
      <c r="Q62" s="32">
        <v>0.4</v>
      </c>
      <c r="R62" s="32">
        <v>0.4</v>
      </c>
      <c r="S62" s="32">
        <v>0.4</v>
      </c>
    </row>
    <row r="63" spans="2:19" x14ac:dyDescent="0.2">
      <c r="B63" s="1" t="s">
        <v>210</v>
      </c>
      <c r="D63" s="2" t="s">
        <v>211</v>
      </c>
      <c r="F63" s="38">
        <f>Hist!F92/Hist!F90</f>
        <v>0.2428340149485263</v>
      </c>
      <c r="G63" s="38">
        <f>Hist!G92/Hist!G90</f>
        <v>0.24160806968841872</v>
      </c>
      <c r="H63" s="38">
        <f>Hist!H92/Hist!H90</f>
        <v>0.25541074696603105</v>
      </c>
      <c r="I63" s="38">
        <f>Hist!I92/Hist!I90</f>
        <v>0.27863342641349909</v>
      </c>
      <c r="J63" s="38">
        <f t="shared" ref="J63:S63" si="8">CHOOSE(Scenario,J64,J65,J66)</f>
        <v>0.27500000000000002</v>
      </c>
      <c r="K63" s="38">
        <f t="shared" si="8"/>
        <v>0.27374999999999999</v>
      </c>
      <c r="L63" s="38">
        <f t="shared" si="8"/>
        <v>0.27250000000000002</v>
      </c>
      <c r="M63" s="38">
        <f t="shared" si="8"/>
        <v>0.27124999999999999</v>
      </c>
      <c r="N63" s="38">
        <f t="shared" si="8"/>
        <v>0.27</v>
      </c>
      <c r="O63" s="38">
        <f t="shared" si="8"/>
        <v>0.27</v>
      </c>
      <c r="P63" s="38">
        <f t="shared" si="8"/>
        <v>0.27</v>
      </c>
      <c r="Q63" s="38">
        <f t="shared" si="8"/>
        <v>0.27</v>
      </c>
      <c r="R63" s="38">
        <f t="shared" si="8"/>
        <v>0.27</v>
      </c>
      <c r="S63" s="38">
        <f t="shared" si="8"/>
        <v>0.27</v>
      </c>
    </row>
    <row r="64" spans="2:19" x14ac:dyDescent="0.2">
      <c r="B64" t="s">
        <v>192</v>
      </c>
      <c r="J64" s="32">
        <v>0.27500000000000002</v>
      </c>
      <c r="K64" s="32">
        <v>0.27374999999999999</v>
      </c>
      <c r="L64" s="32">
        <v>0.27250000000000002</v>
      </c>
      <c r="M64" s="32">
        <v>0.27124999999999999</v>
      </c>
      <c r="N64" s="32">
        <v>0.27</v>
      </c>
      <c r="O64" s="32">
        <v>0.27</v>
      </c>
      <c r="P64" s="32">
        <v>0.27</v>
      </c>
      <c r="Q64" s="32">
        <v>0.27</v>
      </c>
      <c r="R64" s="32">
        <v>0.27</v>
      </c>
      <c r="S64" s="32">
        <v>0.27</v>
      </c>
    </row>
    <row r="65" spans="2:19" x14ac:dyDescent="0.2">
      <c r="B65" t="s">
        <v>193</v>
      </c>
      <c r="J65" s="32">
        <v>0.27300000000000002</v>
      </c>
      <c r="K65" s="32">
        <v>0.26974999999999999</v>
      </c>
      <c r="L65" s="32">
        <v>0.26650000000000001</v>
      </c>
      <c r="M65" s="32">
        <v>0.26324999999999998</v>
      </c>
      <c r="N65" s="32">
        <v>0.26</v>
      </c>
      <c r="O65" s="32">
        <v>0.26</v>
      </c>
      <c r="P65" s="32">
        <v>0.26</v>
      </c>
      <c r="Q65" s="32">
        <v>0.26</v>
      </c>
      <c r="R65" s="32">
        <v>0.26</v>
      </c>
      <c r="S65" s="32">
        <v>0.26</v>
      </c>
    </row>
    <row r="66" spans="2:19" x14ac:dyDescent="0.2">
      <c r="B66" t="s">
        <v>194</v>
      </c>
      <c r="J66" s="32">
        <v>0.28000000000000003</v>
      </c>
      <c r="K66" s="32">
        <v>0.283333</v>
      </c>
      <c r="L66" s="32">
        <v>0.28666700000000001</v>
      </c>
      <c r="M66" s="32">
        <v>0.28999999999999998</v>
      </c>
      <c r="N66" s="32">
        <v>0.28999999999999998</v>
      </c>
      <c r="O66" s="32">
        <v>0.28999999999999998</v>
      </c>
      <c r="P66" s="32">
        <v>0.28999999999999998</v>
      </c>
      <c r="Q66" s="32">
        <v>0.28999999999999998</v>
      </c>
      <c r="R66" s="32">
        <v>0.28999999999999998</v>
      </c>
      <c r="S66" s="32">
        <v>0.28999999999999998</v>
      </c>
    </row>
    <row r="67" spans="2:19" x14ac:dyDescent="0.2">
      <c r="B67" s="1" t="s">
        <v>212</v>
      </c>
      <c r="D67" s="2" t="s">
        <v>213</v>
      </c>
      <c r="F67" s="38">
        <f>Hist!F96/Hist!F94</f>
        <v>0.1723930078360458</v>
      </c>
      <c r="G67" s="38">
        <f>Hist!G96/Hist!G94</f>
        <v>0.21655204957272697</v>
      </c>
      <c r="H67" s="38">
        <f>Hist!H96/Hist!H94</f>
        <v>0.30383878486812332</v>
      </c>
      <c r="I67" s="38">
        <f>Hist!I96/Hist!I94</f>
        <v>0.35237255889429797</v>
      </c>
      <c r="J67" s="38">
        <f t="shared" ref="J67:S67" si="9">CHOOSE(Scenario,J68,J69,J70)</f>
        <v>0.33</v>
      </c>
      <c r="K67" s="38">
        <f t="shared" si="9"/>
        <v>0.32500000000000001</v>
      </c>
      <c r="L67" s="38">
        <f t="shared" si="9"/>
        <v>0.32</v>
      </c>
      <c r="M67" s="38">
        <f t="shared" si="9"/>
        <v>0.315</v>
      </c>
      <c r="N67" s="38">
        <f t="shared" si="9"/>
        <v>0.315</v>
      </c>
      <c r="O67" s="38">
        <f t="shared" si="9"/>
        <v>0.315</v>
      </c>
      <c r="P67" s="38">
        <f t="shared" si="9"/>
        <v>0.315</v>
      </c>
      <c r="Q67" s="38">
        <f t="shared" si="9"/>
        <v>0.315</v>
      </c>
      <c r="R67" s="38">
        <f t="shared" si="9"/>
        <v>0.315</v>
      </c>
      <c r="S67" s="38">
        <f t="shared" si="9"/>
        <v>0.315</v>
      </c>
    </row>
    <row r="68" spans="2:19" x14ac:dyDescent="0.2">
      <c r="B68" t="s">
        <v>192</v>
      </c>
      <c r="J68" s="32">
        <v>0.33</v>
      </c>
      <c r="K68" s="32">
        <v>0.32500000000000001</v>
      </c>
      <c r="L68" s="32">
        <v>0.32</v>
      </c>
      <c r="M68" s="32">
        <v>0.315</v>
      </c>
      <c r="N68" s="32">
        <v>0.315</v>
      </c>
      <c r="O68" s="32">
        <v>0.315</v>
      </c>
      <c r="P68" s="32">
        <v>0.315</v>
      </c>
      <c r="Q68" s="32">
        <v>0.315</v>
      </c>
      <c r="R68" s="32">
        <v>0.315</v>
      </c>
      <c r="S68" s="32">
        <v>0.315</v>
      </c>
    </row>
    <row r="69" spans="2:19" x14ac:dyDescent="0.2">
      <c r="B69" t="s">
        <v>193</v>
      </c>
      <c r="J69" s="32">
        <v>0.32</v>
      </c>
      <c r="K69" s="32">
        <v>0.31</v>
      </c>
      <c r="L69" s="32">
        <v>0.3</v>
      </c>
      <c r="M69" s="32">
        <v>0.28999999999999998</v>
      </c>
      <c r="N69" s="32">
        <v>0.28999999999999998</v>
      </c>
      <c r="O69" s="32">
        <v>0.28999999999999998</v>
      </c>
      <c r="P69" s="32">
        <v>0.28999999999999998</v>
      </c>
      <c r="Q69" s="32">
        <v>0.28999999999999998</v>
      </c>
      <c r="R69" s="32">
        <v>0.28999999999999998</v>
      </c>
      <c r="S69" s="32">
        <v>0.28999999999999998</v>
      </c>
    </row>
    <row r="70" spans="2:19" x14ac:dyDescent="0.2">
      <c r="B70" t="s">
        <v>194</v>
      </c>
      <c r="J70" s="32">
        <v>0.34</v>
      </c>
      <c r="K70" s="32">
        <v>0.346667</v>
      </c>
      <c r="L70" s="32">
        <v>0.35333300000000001</v>
      </c>
      <c r="M70" s="32">
        <v>0.36</v>
      </c>
      <c r="N70" s="32">
        <v>0.36</v>
      </c>
      <c r="O70" s="32">
        <v>0.36</v>
      </c>
      <c r="P70" s="32">
        <v>0.36</v>
      </c>
      <c r="Q70" s="32">
        <v>0.36</v>
      </c>
      <c r="R70" s="32">
        <v>0.36</v>
      </c>
      <c r="S70" s="32">
        <v>0.36</v>
      </c>
    </row>
    <row r="71" spans="2:19" x14ac:dyDescent="0.2">
      <c r="B71" s="1" t="s">
        <v>214</v>
      </c>
      <c r="D71" s="2" t="s">
        <v>215</v>
      </c>
      <c r="E71" s="38">
        <f>-Hist!E98/Hist!E7</f>
        <v>7.7085141626062934E-2</v>
      </c>
      <c r="F71" s="38">
        <f>-Hist!F98/Hist!F7</f>
        <v>5.9811785422442004E-2</v>
      </c>
      <c r="G71" s="38">
        <f>-Hist!G98/Hist!G7</f>
        <v>6.433888803782202E-2</v>
      </c>
      <c r="H71" s="38">
        <f>-Hist!H98/Hist!H7</f>
        <v>7.2524175375197342E-2</v>
      </c>
      <c r="I71" s="38">
        <f>-Hist!I98/Hist!I7</f>
        <v>7.258961250512605E-2</v>
      </c>
      <c r="J71" s="38">
        <f t="shared" ref="J71:S71" si="10">CHOOSE(Scenario,J72,J73,J74)</f>
        <v>7.0000000000000007E-2</v>
      </c>
      <c r="K71" s="38">
        <f t="shared" si="10"/>
        <v>7.0000000000000007E-2</v>
      </c>
      <c r="L71" s="38">
        <f t="shared" si="10"/>
        <v>7.0000000000000007E-2</v>
      </c>
      <c r="M71" s="38">
        <f t="shared" si="10"/>
        <v>7.0000000000000007E-2</v>
      </c>
      <c r="N71" s="38">
        <f t="shared" si="10"/>
        <v>7.0000000000000007E-2</v>
      </c>
      <c r="O71" s="38">
        <f t="shared" si="10"/>
        <v>7.0000000000000007E-2</v>
      </c>
      <c r="P71" s="38">
        <f t="shared" si="10"/>
        <v>7.0000000000000007E-2</v>
      </c>
      <c r="Q71" s="38">
        <f t="shared" si="10"/>
        <v>7.0000000000000007E-2</v>
      </c>
      <c r="R71" s="38">
        <f t="shared" si="10"/>
        <v>7.0000000000000007E-2</v>
      </c>
      <c r="S71" s="38">
        <f t="shared" si="10"/>
        <v>7.0000000000000007E-2</v>
      </c>
    </row>
    <row r="72" spans="2:19" x14ac:dyDescent="0.2">
      <c r="B72" t="s">
        <v>192</v>
      </c>
      <c r="J72" s="32">
        <v>7.0000000000000007E-2</v>
      </c>
      <c r="K72" s="32">
        <v>7.0000000000000007E-2</v>
      </c>
      <c r="L72" s="32">
        <v>7.0000000000000007E-2</v>
      </c>
      <c r="M72" s="32">
        <v>7.0000000000000007E-2</v>
      </c>
      <c r="N72" s="32">
        <v>7.0000000000000007E-2</v>
      </c>
      <c r="O72" s="32">
        <v>7.0000000000000007E-2</v>
      </c>
      <c r="P72" s="32">
        <v>7.0000000000000007E-2</v>
      </c>
      <c r="Q72" s="32">
        <v>7.0000000000000007E-2</v>
      </c>
      <c r="R72" s="32">
        <v>7.0000000000000007E-2</v>
      </c>
      <c r="S72" s="32">
        <v>7.0000000000000007E-2</v>
      </c>
    </row>
    <row r="73" spans="2:19" x14ac:dyDescent="0.2">
      <c r="B73" t="s">
        <v>193</v>
      </c>
      <c r="J73" s="32">
        <v>6.9000000000000006E-2</v>
      </c>
      <c r="K73" s="32">
        <v>6.8000000000000005E-2</v>
      </c>
      <c r="L73" s="32">
        <v>6.7000000000000004E-2</v>
      </c>
      <c r="M73" s="32">
        <v>6.6000000000000003E-2</v>
      </c>
      <c r="N73" s="32">
        <v>6.5000000000000002E-2</v>
      </c>
      <c r="O73" s="32">
        <v>6.5000000000000002E-2</v>
      </c>
      <c r="P73" s="32">
        <v>6.5000000000000002E-2</v>
      </c>
      <c r="Q73" s="32">
        <v>6.5000000000000002E-2</v>
      </c>
      <c r="R73" s="32">
        <v>6.5000000000000002E-2</v>
      </c>
      <c r="S73" s="32">
        <v>6.5000000000000002E-2</v>
      </c>
    </row>
    <row r="74" spans="2:19" x14ac:dyDescent="0.2">
      <c r="B74" t="s">
        <v>194</v>
      </c>
      <c r="J74" s="32">
        <v>7.1999999999999995E-2</v>
      </c>
      <c r="K74" s="32">
        <v>7.2749999999999995E-2</v>
      </c>
      <c r="L74" s="32">
        <v>7.3499999999999996E-2</v>
      </c>
      <c r="M74" s="32">
        <v>7.4249999999999997E-2</v>
      </c>
      <c r="N74" s="32">
        <v>7.4999999999999997E-2</v>
      </c>
      <c r="O74" s="32">
        <v>7.4999999999999997E-2</v>
      </c>
      <c r="P74" s="32">
        <v>7.4999999999999997E-2</v>
      </c>
      <c r="Q74" s="32">
        <v>7.4999999999999997E-2</v>
      </c>
      <c r="R74" s="32">
        <v>7.4999999999999997E-2</v>
      </c>
      <c r="S74" s="32">
        <v>7.4999999999999997E-2</v>
      </c>
    </row>
    <row r="75" spans="2:19" x14ac:dyDescent="0.2">
      <c r="B75" s="1" t="s">
        <v>216</v>
      </c>
      <c r="D75" s="2" t="s">
        <v>217</v>
      </c>
      <c r="E75" s="38">
        <f>(Hist!E29-Hist!E28)/Hist!E7</f>
        <v>2.5226764230903125E-3</v>
      </c>
      <c r="F75" s="38">
        <f>(Hist!F29-Hist!F28)/Hist!F7</f>
        <v>9.8849924823873978E-3</v>
      </c>
      <c r="G75" s="38">
        <f>(Hist!G29-Hist!G28)/Hist!G7</f>
        <v>1.250319570698879E-2</v>
      </c>
      <c r="H75" s="38">
        <f>(Hist!H29-Hist!H28)/Hist!H7</f>
        <v>1.0399531167877775E-3</v>
      </c>
      <c r="I75" s="38">
        <f>(Hist!I29-Hist!I28)/Hist!I7</f>
        <v>3.2264634846845158E-3</v>
      </c>
      <c r="J75" s="38">
        <f t="shared" ref="J75:S75" si="11">CHOOSE(Scenario,J76,J77,J78)</f>
        <v>6.0000000000000001E-3</v>
      </c>
      <c r="K75" s="38">
        <f t="shared" si="11"/>
        <v>4.0000000000000001E-3</v>
      </c>
      <c r="L75" s="38">
        <f t="shared" si="11"/>
        <v>4.0000000000000001E-3</v>
      </c>
      <c r="M75" s="38">
        <f t="shared" si="11"/>
        <v>4.0000000000000001E-3</v>
      </c>
      <c r="N75" s="38">
        <f t="shared" si="11"/>
        <v>4.0000000000000001E-3</v>
      </c>
      <c r="O75" s="38">
        <f t="shared" si="11"/>
        <v>4.0000000000000001E-3</v>
      </c>
      <c r="P75" s="38">
        <f t="shared" si="11"/>
        <v>4.0000000000000001E-3</v>
      </c>
      <c r="Q75" s="38">
        <f t="shared" si="11"/>
        <v>4.0000000000000001E-3</v>
      </c>
      <c r="R75" s="38">
        <f t="shared" si="11"/>
        <v>4.0000000000000001E-3</v>
      </c>
      <c r="S75" s="38">
        <f t="shared" si="11"/>
        <v>4.0000000000000001E-3</v>
      </c>
    </row>
    <row r="76" spans="2:19" x14ac:dyDescent="0.2">
      <c r="B76" t="s">
        <v>192</v>
      </c>
      <c r="J76" s="32">
        <v>6.0000000000000001E-3</v>
      </c>
      <c r="K76" s="32">
        <v>4.0000000000000001E-3</v>
      </c>
      <c r="L76" s="32">
        <v>4.0000000000000001E-3</v>
      </c>
      <c r="M76" s="32">
        <v>4.0000000000000001E-3</v>
      </c>
      <c r="N76" s="32">
        <v>4.0000000000000001E-3</v>
      </c>
      <c r="O76" s="32">
        <v>4.0000000000000001E-3</v>
      </c>
      <c r="P76" s="32">
        <v>4.0000000000000001E-3</v>
      </c>
      <c r="Q76" s="32">
        <v>4.0000000000000001E-3</v>
      </c>
      <c r="R76" s="32">
        <v>4.0000000000000001E-3</v>
      </c>
      <c r="S76" s="32">
        <v>4.0000000000000001E-3</v>
      </c>
    </row>
    <row r="77" spans="2:19" x14ac:dyDescent="0.2">
      <c r="B77" t="s">
        <v>193</v>
      </c>
      <c r="J77" s="32">
        <v>5.0000000000000001E-3</v>
      </c>
      <c r="K77" s="32">
        <v>3.0000000000000001E-3</v>
      </c>
      <c r="L77" s="32">
        <v>3.0000000000000001E-3</v>
      </c>
      <c r="M77" s="32">
        <v>3.0000000000000001E-3</v>
      </c>
      <c r="N77" s="32">
        <v>3.0000000000000001E-3</v>
      </c>
      <c r="O77" s="32">
        <v>3.0000000000000001E-3</v>
      </c>
      <c r="P77" s="32">
        <v>3.0000000000000001E-3</v>
      </c>
      <c r="Q77" s="32">
        <v>3.0000000000000001E-3</v>
      </c>
      <c r="R77" s="32">
        <v>3.0000000000000001E-3</v>
      </c>
      <c r="S77" s="32">
        <v>3.0000000000000001E-3</v>
      </c>
    </row>
    <row r="78" spans="2:19" x14ac:dyDescent="0.2">
      <c r="B78" t="s">
        <v>194</v>
      </c>
      <c r="J78" s="32">
        <v>8.0000000000000002E-3</v>
      </c>
      <c r="K78" s="32">
        <v>6.0000000000000001E-3</v>
      </c>
      <c r="L78" s="32">
        <v>6.0000000000000001E-3</v>
      </c>
      <c r="M78" s="32">
        <v>6.0000000000000001E-3</v>
      </c>
      <c r="N78" s="32">
        <v>6.0000000000000001E-3</v>
      </c>
      <c r="O78" s="32">
        <v>6.0000000000000001E-3</v>
      </c>
      <c r="P78" s="32">
        <v>6.0000000000000001E-3</v>
      </c>
      <c r="Q78" s="32">
        <v>6.0000000000000001E-3</v>
      </c>
      <c r="R78" s="32">
        <v>6.0000000000000001E-3</v>
      </c>
      <c r="S78" s="32">
        <v>6.0000000000000001E-3</v>
      </c>
    </row>
    <row r="79" spans="2:19" x14ac:dyDescent="0.2">
      <c r="B79" s="3" t="s">
        <v>218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spans="2:19" x14ac:dyDescent="0.2">
      <c r="B80" s="1" t="s">
        <v>219</v>
      </c>
      <c r="D80" s="2" t="s">
        <v>220</v>
      </c>
      <c r="E80" s="39">
        <f>Hist!E33/Hist!E7*365</f>
        <v>28.814352887677785</v>
      </c>
      <c r="F80" s="39">
        <f>Hist!F33/Hist!F7*365</f>
        <v>30.349441699472713</v>
      </c>
      <c r="G80" s="39">
        <f>Hist!G33/Hist!G7*365</f>
        <v>28.1645335453962</v>
      </c>
      <c r="H80" s="39">
        <f>Hist!H33/Hist!H7*365</f>
        <v>22.925970013466245</v>
      </c>
      <c r="I80" s="39">
        <f>Hist!I33/Hist!I7*365</f>
        <v>25.129568358730666</v>
      </c>
      <c r="J80" s="39">
        <f t="shared" ref="J80:S80" si="12">CHOOSE(Scenario,J81,J82,J83)</f>
        <v>25</v>
      </c>
      <c r="K80" s="39">
        <f t="shared" si="12"/>
        <v>25</v>
      </c>
      <c r="L80" s="39">
        <f t="shared" si="12"/>
        <v>25</v>
      </c>
      <c r="M80" s="39">
        <f t="shared" si="12"/>
        <v>25</v>
      </c>
      <c r="N80" s="39">
        <f t="shared" si="12"/>
        <v>25</v>
      </c>
      <c r="O80" s="39">
        <f t="shared" si="12"/>
        <v>25</v>
      </c>
      <c r="P80" s="39">
        <f t="shared" si="12"/>
        <v>25</v>
      </c>
      <c r="Q80" s="39">
        <f t="shared" si="12"/>
        <v>25</v>
      </c>
      <c r="R80" s="39">
        <f t="shared" si="12"/>
        <v>25</v>
      </c>
      <c r="S80" s="39">
        <f t="shared" si="12"/>
        <v>25</v>
      </c>
    </row>
    <row r="81" spans="2:19" x14ac:dyDescent="0.2">
      <c r="B81" t="s">
        <v>192</v>
      </c>
      <c r="J81" s="40">
        <v>25</v>
      </c>
      <c r="K81" s="40">
        <v>25</v>
      </c>
      <c r="L81" s="40">
        <v>25</v>
      </c>
      <c r="M81" s="40">
        <v>25</v>
      </c>
      <c r="N81" s="40">
        <v>25</v>
      </c>
      <c r="O81" s="40">
        <v>25</v>
      </c>
      <c r="P81" s="40">
        <v>25</v>
      </c>
      <c r="Q81" s="40">
        <v>25</v>
      </c>
      <c r="R81" s="40">
        <v>25</v>
      </c>
      <c r="S81" s="40">
        <v>25</v>
      </c>
    </row>
    <row r="82" spans="2:19" x14ac:dyDescent="0.2">
      <c r="B82" t="s">
        <v>193</v>
      </c>
      <c r="J82" s="40">
        <v>24</v>
      </c>
      <c r="K82" s="40">
        <v>24</v>
      </c>
      <c r="L82" s="40">
        <v>24</v>
      </c>
      <c r="M82" s="40">
        <v>24</v>
      </c>
      <c r="N82" s="40">
        <v>24</v>
      </c>
      <c r="O82" s="40">
        <v>24</v>
      </c>
      <c r="P82" s="40">
        <v>24</v>
      </c>
      <c r="Q82" s="40">
        <v>24</v>
      </c>
      <c r="R82" s="40">
        <v>24</v>
      </c>
      <c r="S82" s="40">
        <v>24</v>
      </c>
    </row>
    <row r="83" spans="2:19" x14ac:dyDescent="0.2">
      <c r="B83" t="s">
        <v>194</v>
      </c>
      <c r="J83" s="40">
        <v>27</v>
      </c>
      <c r="K83" s="40">
        <v>27</v>
      </c>
      <c r="L83" s="40">
        <v>27</v>
      </c>
      <c r="M83" s="40">
        <v>27</v>
      </c>
      <c r="N83" s="40">
        <v>27</v>
      </c>
      <c r="O83" s="40">
        <v>27</v>
      </c>
      <c r="P83" s="40">
        <v>27</v>
      </c>
      <c r="Q83" s="40">
        <v>27</v>
      </c>
      <c r="R83" s="40">
        <v>27</v>
      </c>
      <c r="S83" s="40">
        <v>27</v>
      </c>
    </row>
    <row r="84" spans="2:19" x14ac:dyDescent="0.2">
      <c r="B84" s="1" t="s">
        <v>221</v>
      </c>
      <c r="D84" s="2" t="s">
        <v>222</v>
      </c>
      <c r="E84" s="39">
        <f>Hist!E34/Hist!E8*365</f>
        <v>87.253861414515967</v>
      </c>
      <c r="F84" s="39">
        <f>Hist!F34/Hist!F8*365</f>
        <v>101.56122636237735</v>
      </c>
      <c r="G84" s="39">
        <f>Hist!G34/Hist!G8*365</f>
        <v>80.204155935758919</v>
      </c>
      <c r="H84" s="39">
        <f>Hist!H34/Hist!H8*365</f>
        <v>76.85829713036027</v>
      </c>
      <c r="I84" s="39">
        <f>Hist!I34/Hist!I8*365</f>
        <v>79.930740345641937</v>
      </c>
      <c r="J84" s="39">
        <f t="shared" ref="J84:S84" si="13">CHOOSE(Scenario,J85,J86,J87)</f>
        <v>80</v>
      </c>
      <c r="K84" s="39">
        <f t="shared" si="13"/>
        <v>80</v>
      </c>
      <c r="L84" s="39">
        <f t="shared" si="13"/>
        <v>80</v>
      </c>
      <c r="M84" s="39">
        <f t="shared" si="13"/>
        <v>80</v>
      </c>
      <c r="N84" s="39">
        <f t="shared" si="13"/>
        <v>80</v>
      </c>
      <c r="O84" s="39">
        <f t="shared" si="13"/>
        <v>80</v>
      </c>
      <c r="P84" s="39">
        <f t="shared" si="13"/>
        <v>80</v>
      </c>
      <c r="Q84" s="39">
        <f t="shared" si="13"/>
        <v>80</v>
      </c>
      <c r="R84" s="39">
        <f t="shared" si="13"/>
        <v>80</v>
      </c>
      <c r="S84" s="39">
        <f t="shared" si="13"/>
        <v>80</v>
      </c>
    </row>
    <row r="85" spans="2:19" x14ac:dyDescent="0.2">
      <c r="B85" t="s">
        <v>192</v>
      </c>
      <c r="J85" s="40">
        <v>80</v>
      </c>
      <c r="K85" s="40">
        <v>80</v>
      </c>
      <c r="L85" s="40">
        <v>80</v>
      </c>
      <c r="M85" s="40">
        <v>80</v>
      </c>
      <c r="N85" s="40">
        <v>80</v>
      </c>
      <c r="O85" s="40">
        <v>80</v>
      </c>
      <c r="P85" s="40">
        <v>80</v>
      </c>
      <c r="Q85" s="40">
        <v>80</v>
      </c>
      <c r="R85" s="40">
        <v>80</v>
      </c>
      <c r="S85" s="40">
        <v>80</v>
      </c>
    </row>
    <row r="86" spans="2:19" x14ac:dyDescent="0.2">
      <c r="B86" t="s">
        <v>193</v>
      </c>
      <c r="J86" s="40">
        <v>76</v>
      </c>
      <c r="K86" s="40">
        <v>76</v>
      </c>
      <c r="L86" s="40">
        <v>76</v>
      </c>
      <c r="M86" s="40">
        <v>76</v>
      </c>
      <c r="N86" s="40">
        <v>76</v>
      </c>
      <c r="O86" s="40">
        <v>76</v>
      </c>
      <c r="P86" s="40">
        <v>76</v>
      </c>
      <c r="Q86" s="40">
        <v>76</v>
      </c>
      <c r="R86" s="40">
        <v>76</v>
      </c>
      <c r="S86" s="40">
        <v>76</v>
      </c>
    </row>
    <row r="87" spans="2:19" x14ac:dyDescent="0.2">
      <c r="B87" t="s">
        <v>194</v>
      </c>
      <c r="J87" s="40">
        <v>88</v>
      </c>
      <c r="K87" s="40">
        <v>88</v>
      </c>
      <c r="L87" s="40">
        <v>88</v>
      </c>
      <c r="M87" s="40">
        <v>88</v>
      </c>
      <c r="N87" s="40">
        <v>88</v>
      </c>
      <c r="O87" s="40">
        <v>88</v>
      </c>
      <c r="P87" s="40">
        <v>88</v>
      </c>
      <c r="Q87" s="40">
        <v>88</v>
      </c>
      <c r="R87" s="40">
        <v>88</v>
      </c>
      <c r="S87" s="40">
        <v>88</v>
      </c>
    </row>
    <row r="88" spans="2:19" x14ac:dyDescent="0.2">
      <c r="B88" s="1" t="s">
        <v>223</v>
      </c>
      <c r="D88" s="2" t="s">
        <v>224</v>
      </c>
      <c r="E88" s="39">
        <f>Hist!E46/Hist!E8*365</f>
        <v>66.259729107609076</v>
      </c>
      <c r="F88" s="39">
        <f>Hist!F46/Hist!F8*365</f>
        <v>49.71352797510832</v>
      </c>
      <c r="G88" s="39">
        <f>Hist!G46/Hist!G8*365</f>
        <v>54.35996044139911</v>
      </c>
      <c r="H88" s="39">
        <f>Hist!H46/Hist!H8*365</f>
        <v>57.149785737506285</v>
      </c>
      <c r="I88" s="39">
        <f>Hist!I46/Hist!I8*365</f>
        <v>57.687878060717793</v>
      </c>
      <c r="J88" s="39">
        <f t="shared" ref="J88:S88" si="14">CHOOSE(Scenario,J89,J90,J91)</f>
        <v>57</v>
      </c>
      <c r="K88" s="39">
        <f t="shared" si="14"/>
        <v>57</v>
      </c>
      <c r="L88" s="39">
        <f t="shared" si="14"/>
        <v>57</v>
      </c>
      <c r="M88" s="39">
        <f t="shared" si="14"/>
        <v>57</v>
      </c>
      <c r="N88" s="39">
        <f t="shared" si="14"/>
        <v>57</v>
      </c>
      <c r="O88" s="39">
        <f t="shared" si="14"/>
        <v>57</v>
      </c>
      <c r="P88" s="39">
        <f t="shared" si="14"/>
        <v>57</v>
      </c>
      <c r="Q88" s="39">
        <f t="shared" si="14"/>
        <v>57</v>
      </c>
      <c r="R88" s="39">
        <f t="shared" si="14"/>
        <v>57</v>
      </c>
      <c r="S88" s="39">
        <f t="shared" si="14"/>
        <v>57</v>
      </c>
    </row>
    <row r="89" spans="2:19" x14ac:dyDescent="0.2">
      <c r="B89" t="s">
        <v>192</v>
      </c>
      <c r="J89" s="40">
        <v>57</v>
      </c>
      <c r="K89" s="40">
        <v>57</v>
      </c>
      <c r="L89" s="40">
        <v>57</v>
      </c>
      <c r="M89" s="40">
        <v>57</v>
      </c>
      <c r="N89" s="40">
        <v>57</v>
      </c>
      <c r="O89" s="40">
        <v>57</v>
      </c>
      <c r="P89" s="40">
        <v>57</v>
      </c>
      <c r="Q89" s="40">
        <v>57</v>
      </c>
      <c r="R89" s="40">
        <v>57</v>
      </c>
      <c r="S89" s="40">
        <v>57</v>
      </c>
    </row>
    <row r="90" spans="2:19" x14ac:dyDescent="0.2">
      <c r="B90" t="s">
        <v>193</v>
      </c>
      <c r="J90" s="40">
        <v>58</v>
      </c>
      <c r="K90" s="40">
        <v>58</v>
      </c>
      <c r="L90" s="40">
        <v>58</v>
      </c>
      <c r="M90" s="40">
        <v>58</v>
      </c>
      <c r="N90" s="40">
        <v>58</v>
      </c>
      <c r="O90" s="40">
        <v>58</v>
      </c>
      <c r="P90" s="40">
        <v>58</v>
      </c>
      <c r="Q90" s="40">
        <v>58</v>
      </c>
      <c r="R90" s="40">
        <v>58</v>
      </c>
      <c r="S90" s="40">
        <v>58</v>
      </c>
    </row>
    <row r="91" spans="2:19" x14ac:dyDescent="0.2">
      <c r="B91" t="s">
        <v>194</v>
      </c>
      <c r="J91" s="40">
        <v>55</v>
      </c>
      <c r="K91" s="40">
        <v>55</v>
      </c>
      <c r="L91" s="40">
        <v>55</v>
      </c>
      <c r="M91" s="40">
        <v>55</v>
      </c>
      <c r="N91" s="40">
        <v>55</v>
      </c>
      <c r="O91" s="40">
        <v>55</v>
      </c>
      <c r="P91" s="40">
        <v>55</v>
      </c>
      <c r="Q91" s="40">
        <v>55</v>
      </c>
      <c r="R91" s="40">
        <v>55</v>
      </c>
      <c r="S91" s="40">
        <v>55</v>
      </c>
    </row>
    <row r="92" spans="2:19" x14ac:dyDescent="0.2">
      <c r="B92" s="1" t="s">
        <v>225</v>
      </c>
      <c r="D92" s="2" t="s">
        <v>226</v>
      </c>
      <c r="E92" s="38">
        <f>-Hist!E70/Hist!E7</f>
        <v>2.4170317833022679E-2</v>
      </c>
      <c r="F92" s="38">
        <f>-Hist!F70/Hist!F7</f>
        <v>2.9308140540677385E-2</v>
      </c>
      <c r="G92" s="38">
        <f>-Hist!G70/Hist!G7</f>
        <v>2.9180937459541024E-2</v>
      </c>
      <c r="H92" s="38">
        <f>-Hist!H70/Hist!H7</f>
        <v>1.6905210686798101E-2</v>
      </c>
      <c r="I92" s="38">
        <f>-Hist!I70/Hist!I7</f>
        <v>1.2678910085439287E-2</v>
      </c>
      <c r="J92" s="38">
        <f t="shared" ref="J92:S92" si="15">CHOOSE(Scenario,J93,J94,J95)</f>
        <v>1.6E-2</v>
      </c>
      <c r="K92" s="38">
        <f t="shared" si="15"/>
        <v>1.6E-2</v>
      </c>
      <c r="L92" s="38">
        <f t="shared" si="15"/>
        <v>1.6E-2</v>
      </c>
      <c r="M92" s="38">
        <f t="shared" si="15"/>
        <v>1.6E-2</v>
      </c>
      <c r="N92" s="38">
        <f t="shared" si="15"/>
        <v>1.6E-2</v>
      </c>
      <c r="O92" s="38">
        <f t="shared" si="15"/>
        <v>1.6E-2</v>
      </c>
      <c r="P92" s="38">
        <f t="shared" si="15"/>
        <v>1.6E-2</v>
      </c>
      <c r="Q92" s="38">
        <f t="shared" si="15"/>
        <v>1.6E-2</v>
      </c>
      <c r="R92" s="38">
        <f t="shared" si="15"/>
        <v>1.6E-2</v>
      </c>
      <c r="S92" s="38">
        <f t="shared" si="15"/>
        <v>1.6E-2</v>
      </c>
    </row>
    <row r="93" spans="2:19" x14ac:dyDescent="0.2">
      <c r="B93" t="s">
        <v>192</v>
      </c>
      <c r="J93" s="32">
        <v>1.6E-2</v>
      </c>
      <c r="K93" s="32">
        <v>1.6E-2</v>
      </c>
      <c r="L93" s="32">
        <v>1.6E-2</v>
      </c>
      <c r="M93" s="32">
        <v>1.6E-2</v>
      </c>
      <c r="N93" s="32">
        <v>1.6E-2</v>
      </c>
      <c r="O93" s="32">
        <v>1.6E-2</v>
      </c>
      <c r="P93" s="32">
        <v>1.6E-2</v>
      </c>
      <c r="Q93" s="32">
        <v>1.6E-2</v>
      </c>
      <c r="R93" s="32">
        <v>1.6E-2</v>
      </c>
      <c r="S93" s="32">
        <v>1.6E-2</v>
      </c>
    </row>
    <row r="94" spans="2:19" x14ac:dyDescent="0.2">
      <c r="B94" t="s">
        <v>193</v>
      </c>
      <c r="J94" s="32">
        <v>1.4999999999999999E-2</v>
      </c>
      <c r="K94" s="32">
        <v>1.4999999999999999E-2</v>
      </c>
      <c r="L94" s="32">
        <v>1.4999999999999999E-2</v>
      </c>
      <c r="M94" s="32">
        <v>1.4999999999999999E-2</v>
      </c>
      <c r="N94" s="32">
        <v>1.4999999999999999E-2</v>
      </c>
      <c r="O94" s="32">
        <v>1.4999999999999999E-2</v>
      </c>
      <c r="P94" s="32">
        <v>1.4999999999999999E-2</v>
      </c>
      <c r="Q94" s="32">
        <v>1.4999999999999999E-2</v>
      </c>
      <c r="R94" s="32">
        <v>1.4999999999999999E-2</v>
      </c>
      <c r="S94" s="32">
        <v>1.4999999999999999E-2</v>
      </c>
    </row>
    <row r="95" spans="2:19" x14ac:dyDescent="0.2">
      <c r="B95" t="s">
        <v>194</v>
      </c>
      <c r="J95" s="32">
        <v>1.7999999999999999E-2</v>
      </c>
      <c r="K95" s="32">
        <v>1.7999999999999999E-2</v>
      </c>
      <c r="L95" s="32">
        <v>1.7999999999999999E-2</v>
      </c>
      <c r="M95" s="32">
        <v>1.7999999999999999E-2</v>
      </c>
      <c r="N95" s="32">
        <v>1.7999999999999999E-2</v>
      </c>
      <c r="O95" s="32">
        <v>1.7999999999999999E-2</v>
      </c>
      <c r="P95" s="32">
        <v>1.7999999999999999E-2</v>
      </c>
      <c r="Q95" s="32">
        <v>1.7999999999999999E-2</v>
      </c>
      <c r="R95" s="32">
        <v>1.7999999999999999E-2</v>
      </c>
      <c r="S95" s="32">
        <v>1.7999999999999999E-2</v>
      </c>
    </row>
    <row r="96" spans="2:19" x14ac:dyDescent="0.2">
      <c r="B96" s="3" t="s">
        <v>227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 spans="2:19" x14ac:dyDescent="0.2">
      <c r="B97" t="s">
        <v>228</v>
      </c>
      <c r="D97" s="2" t="s">
        <v>229</v>
      </c>
      <c r="E97" s="24">
        <f>Hist!E47/Hist!E7</f>
        <v>7.2138776597032259E-2</v>
      </c>
      <c r="F97" s="24">
        <f>Hist!F47/Hist!F7</f>
        <v>6.7348807378934089E-2</v>
      </c>
      <c r="G97" s="24">
        <f>Hist!G47/Hist!G7</f>
        <v>7.2121649113517816E-2</v>
      </c>
      <c r="H97" s="24">
        <f>Hist!H47/Hist!H7</f>
        <v>7.266215321488366E-2</v>
      </c>
      <c r="I97" s="24">
        <f>Hist!I47/Hist!I7</f>
        <v>7.4482873658599721E-2</v>
      </c>
      <c r="J97" s="32">
        <v>7.3999999999999996E-2</v>
      </c>
      <c r="K97" s="32">
        <v>7.3999999999999996E-2</v>
      </c>
      <c r="L97" s="32">
        <v>7.3999999999999996E-2</v>
      </c>
      <c r="M97" s="32">
        <v>7.3999999999999996E-2</v>
      </c>
      <c r="N97" s="32">
        <v>7.3999999999999996E-2</v>
      </c>
      <c r="O97" s="32">
        <v>7.3999999999999996E-2</v>
      </c>
      <c r="P97" s="32">
        <v>7.3999999999999996E-2</v>
      </c>
      <c r="Q97" s="32">
        <v>7.3999999999999996E-2</v>
      </c>
      <c r="R97" s="32">
        <v>7.3999999999999996E-2</v>
      </c>
      <c r="S97" s="32">
        <v>7.3999999999999996E-2</v>
      </c>
    </row>
    <row r="98" spans="2:19" x14ac:dyDescent="0.2">
      <c r="B98" t="s">
        <v>230</v>
      </c>
      <c r="D98" s="2" t="s">
        <v>231</v>
      </c>
      <c r="E98" s="24">
        <f>Hist!E36/Hist!E7</f>
        <v>1.5095425984777486E-2</v>
      </c>
      <c r="F98" s="24">
        <f>Hist!F36/Hist!F7</f>
        <v>1.4753648749572782E-2</v>
      </c>
      <c r="G98" s="24">
        <f>Hist!G36/Hist!G7</f>
        <v>1.6707774457915978E-2</v>
      </c>
      <c r="H98" s="24">
        <f>Hist!H36/Hist!H7</f>
        <v>1.7997332103396595E-2</v>
      </c>
      <c r="I98" s="24">
        <f>Hist!I36/Hist!I7</f>
        <v>1.8776448425215073E-2</v>
      </c>
      <c r="J98" s="32">
        <v>1.9E-2</v>
      </c>
      <c r="K98" s="32">
        <v>1.9E-2</v>
      </c>
      <c r="L98" s="32">
        <v>1.9E-2</v>
      </c>
      <c r="M98" s="32">
        <v>1.9E-2</v>
      </c>
      <c r="N98" s="32">
        <v>1.9E-2</v>
      </c>
      <c r="O98" s="32">
        <v>1.9E-2</v>
      </c>
      <c r="P98" s="32">
        <v>1.9E-2</v>
      </c>
      <c r="Q98" s="32">
        <v>1.9E-2</v>
      </c>
      <c r="R98" s="32">
        <v>1.9E-2</v>
      </c>
      <c r="S98" s="32">
        <v>1.9E-2</v>
      </c>
    </row>
    <row r="99" spans="2:19" x14ac:dyDescent="0.2">
      <c r="B99" t="s">
        <v>232</v>
      </c>
      <c r="D99" s="2" t="s">
        <v>233</v>
      </c>
      <c r="F99" s="24">
        <f>(Hist!F21-Hist!F22)/Hist!E38</f>
        <v>0.18120260521411835</v>
      </c>
      <c r="G99" s="24">
        <f>(Hist!G21-Hist!G22)/Hist!F38</f>
        <v>0.17454511400382311</v>
      </c>
      <c r="H99" s="24">
        <f>(Hist!H21-Hist!H22)/Hist!G38</f>
        <v>0.19682353188007473</v>
      </c>
      <c r="I99" s="24">
        <f>(Hist!I21-Hist!I22)/Hist!H38</f>
        <v>0.22801072298279002</v>
      </c>
      <c r="J99" s="32">
        <v>0.23</v>
      </c>
      <c r="K99" s="32">
        <v>0.23</v>
      </c>
      <c r="L99" s="32">
        <v>0.23</v>
      </c>
      <c r="M99" s="32">
        <v>0.23</v>
      </c>
      <c r="N99" s="32">
        <v>0.23</v>
      </c>
      <c r="O99" s="32">
        <v>0.23</v>
      </c>
      <c r="P99" s="32">
        <v>0.23</v>
      </c>
      <c r="Q99" s="32">
        <v>0.23</v>
      </c>
      <c r="R99" s="32">
        <v>0.23</v>
      </c>
      <c r="S99" s="32">
        <v>0.23</v>
      </c>
    </row>
    <row r="100" spans="2:19" x14ac:dyDescent="0.2">
      <c r="B100" t="s">
        <v>234</v>
      </c>
      <c r="D100" s="2" t="s">
        <v>235</v>
      </c>
      <c r="E100" s="24">
        <f>Hist!E23/Hist!E7</f>
        <v>1.6478661857616615E-2</v>
      </c>
      <c r="F100" s="24">
        <f>Hist!F23/Hist!F7</f>
        <v>8.8053817386008655E-3</v>
      </c>
      <c r="G100" s="24">
        <f>Hist!G23/Hist!G7</f>
        <v>7.3370656330704999E-3</v>
      </c>
      <c r="H100" s="24">
        <f>Hist!H23/Hist!H7</f>
        <v>8.0575645497388167E-3</v>
      </c>
      <c r="I100" s="24">
        <f>Hist!I23/Hist!I7</f>
        <v>9.0829513194297853E-3</v>
      </c>
      <c r="J100" s="32">
        <v>8.9999999999999993E-3</v>
      </c>
      <c r="K100" s="32">
        <v>8.9999999999999993E-3</v>
      </c>
      <c r="L100" s="32">
        <v>8.9999999999999993E-3</v>
      </c>
      <c r="M100" s="32">
        <v>8.9999999999999993E-3</v>
      </c>
      <c r="N100" s="32">
        <v>8.9999999999999993E-3</v>
      </c>
      <c r="O100" s="32">
        <v>8.9999999999999993E-3</v>
      </c>
      <c r="P100" s="32">
        <v>8.9999999999999993E-3</v>
      </c>
      <c r="Q100" s="32">
        <v>8.9999999999999993E-3</v>
      </c>
      <c r="R100" s="32">
        <v>8.9999999999999993E-3</v>
      </c>
      <c r="S100" s="32">
        <v>8.9999999999999993E-3</v>
      </c>
    </row>
    <row r="101" spans="2:19" x14ac:dyDescent="0.2">
      <c r="B101" t="s">
        <v>236</v>
      </c>
      <c r="D101" s="2" t="s">
        <v>237</v>
      </c>
      <c r="E101" s="24">
        <f>(Hist!E49+Hist!E54)/Hist!E7</f>
        <v>8.3067204514881879E-2</v>
      </c>
      <c r="F101" s="24">
        <f>(Hist!F49+Hist!F54)/Hist!F7</f>
        <v>7.667402253455359E-2</v>
      </c>
      <c r="G101" s="24">
        <f>(Hist!G49+Hist!G54)/Hist!G7</f>
        <v>8.3797809732464118E-2</v>
      </c>
      <c r="H101" s="24">
        <f>(Hist!H49+Hist!H54)/Hist!H7</f>
        <v>8.579905746021313E-2</v>
      </c>
      <c r="I101" s="24">
        <f>(Hist!I49+Hist!I54)/Hist!I7</f>
        <v>9.4777890768483364E-2</v>
      </c>
      <c r="J101" s="32">
        <v>9.5000000000000001E-2</v>
      </c>
      <c r="K101" s="32">
        <v>9.5000000000000001E-2</v>
      </c>
      <c r="L101" s="32">
        <v>9.5000000000000001E-2</v>
      </c>
      <c r="M101" s="32">
        <v>9.5000000000000001E-2</v>
      </c>
      <c r="N101" s="32">
        <v>9.5000000000000001E-2</v>
      </c>
      <c r="O101" s="32">
        <v>9.5000000000000001E-2</v>
      </c>
      <c r="P101" s="32">
        <v>9.5000000000000001E-2</v>
      </c>
      <c r="Q101" s="32">
        <v>9.5000000000000001E-2</v>
      </c>
      <c r="R101" s="32">
        <v>9.5000000000000001E-2</v>
      </c>
      <c r="S101" s="32">
        <v>9.5000000000000001E-2</v>
      </c>
    </row>
    <row r="102" spans="2:19" x14ac:dyDescent="0.2">
      <c r="B102" t="s">
        <v>42</v>
      </c>
      <c r="D102" s="2" t="s">
        <v>238</v>
      </c>
      <c r="E102" s="24">
        <f>IFERROR(Hist!E17/Hist!E16,"n.m.")</f>
        <v>-9.3161246006245382E-2</v>
      </c>
      <c r="F102" s="24">
        <f>IFERROR(Hist!F17/Hist!F16,"n.m.")</f>
        <v>0.24822131416769191</v>
      </c>
      <c r="G102" s="24">
        <f>IFERROR(Hist!G17/Hist!G16,"n.m.")</f>
        <v>9.5525133748425139E-2</v>
      </c>
      <c r="H102" s="24">
        <f>IFERROR(Hist!H17/Hist!H16,"n.m.")</f>
        <v>-4.3363332363260974E-2</v>
      </c>
      <c r="I102" s="24">
        <f>IFERROR(Hist!I17/Hist!I16,"n.m.")</f>
        <v>2.1126366850283649</v>
      </c>
      <c r="J102" s="32">
        <v>0.23</v>
      </c>
      <c r="K102" s="32">
        <v>0.22</v>
      </c>
      <c r="L102" s="32">
        <v>0.22</v>
      </c>
      <c r="M102" s="32">
        <v>0.22</v>
      </c>
      <c r="N102" s="32">
        <v>0.22</v>
      </c>
      <c r="O102" s="32">
        <v>0.22</v>
      </c>
      <c r="P102" s="32">
        <v>0.22</v>
      </c>
      <c r="Q102" s="32">
        <v>0.22</v>
      </c>
      <c r="R102" s="32">
        <v>0.22</v>
      </c>
      <c r="S102" s="32">
        <v>0.22</v>
      </c>
    </row>
    <row r="103" spans="2:19" x14ac:dyDescent="0.2">
      <c r="B103" t="s">
        <v>239</v>
      </c>
      <c r="D103" s="2" t="s">
        <v>240</v>
      </c>
      <c r="E103" s="24">
        <f>Hist!E81/(Hist!E29+Hist!E13-Hist!E14+Hist!E15)</f>
        <v>0.23619659579881286</v>
      </c>
      <c r="F103" s="24">
        <f>Hist!F81/(Hist!F29+Hist!F13-Hist!F14+Hist!F15)</f>
        <v>0.15230820387690205</v>
      </c>
      <c r="G103" s="24">
        <f>Hist!G81/(Hist!G29+Hist!G13-Hist!G14+Hist!G15)</f>
        <v>0.18820925973696498</v>
      </c>
      <c r="H103" s="24">
        <f>Hist!H81/(Hist!H29+Hist!H13-Hist!H14+Hist!H15)</f>
        <v>0.13065695918341266</v>
      </c>
      <c r="I103" s="24">
        <f>Hist!I81/(Hist!I29+Hist!I13-Hist!I14+Hist!I15)</f>
        <v>0.22455923215997475</v>
      </c>
      <c r="J103" s="32">
        <v>0.18</v>
      </c>
      <c r="K103" s="32">
        <v>0.18</v>
      </c>
      <c r="L103" s="32">
        <v>0.18</v>
      </c>
      <c r="M103" s="32">
        <v>0.18</v>
      </c>
      <c r="N103" s="32">
        <v>0.18</v>
      </c>
      <c r="O103" s="32">
        <v>0.18</v>
      </c>
      <c r="P103" s="32">
        <v>0.18</v>
      </c>
      <c r="Q103" s="32">
        <v>0.18</v>
      </c>
      <c r="R103" s="32">
        <v>0.18</v>
      </c>
      <c r="S103" s="32">
        <v>0.18</v>
      </c>
    </row>
    <row r="104" spans="2:19" x14ac:dyDescent="0.2">
      <c r="B104" t="s">
        <v>241</v>
      </c>
      <c r="D104" s="2" t="s">
        <v>242</v>
      </c>
      <c r="J104" s="32">
        <v>3.7499999999999999E-2</v>
      </c>
      <c r="K104" s="32">
        <v>3.5000000000000003E-2</v>
      </c>
      <c r="L104" s="32">
        <v>3.2500000000000001E-2</v>
      </c>
      <c r="M104" s="32">
        <v>3.2500000000000001E-2</v>
      </c>
      <c r="N104" s="32">
        <v>3.2500000000000001E-2</v>
      </c>
      <c r="O104" s="32">
        <v>3.2500000000000001E-2</v>
      </c>
      <c r="P104" s="32">
        <v>3.2500000000000001E-2</v>
      </c>
      <c r="Q104" s="32">
        <v>3.2500000000000001E-2</v>
      </c>
      <c r="R104" s="32">
        <v>3.2500000000000001E-2</v>
      </c>
      <c r="S104" s="32">
        <v>3.2500000000000001E-2</v>
      </c>
    </row>
    <row r="105" spans="2:19" x14ac:dyDescent="0.2">
      <c r="B105" t="s">
        <v>243</v>
      </c>
      <c r="D105" s="2" t="s">
        <v>244</v>
      </c>
      <c r="E105" s="24">
        <f>-Hist!E76/(Hist!E69+Hist!E70)</f>
        <v>1.9559940459541243</v>
      </c>
      <c r="F105" s="24">
        <f>-Hist!F76/(Hist!F69+Hist!F70)</f>
        <v>0</v>
      </c>
      <c r="G105" s="24">
        <f>-Hist!G76/(Hist!G69+Hist!G70)</f>
        <v>0.21479494218961515</v>
      </c>
      <c r="H105" s="24">
        <f>-Hist!H76/(Hist!H69+Hist!H70)</f>
        <v>0.59844833768262418</v>
      </c>
      <c r="I105" s="24">
        <f>-Hist!I76/(Hist!I69+Hist!I70)</f>
        <v>0.88337378640776698</v>
      </c>
      <c r="J105" s="32">
        <v>0.8</v>
      </c>
      <c r="K105" s="32">
        <v>0.8</v>
      </c>
      <c r="L105" s="32">
        <v>0.8</v>
      </c>
      <c r="M105" s="32">
        <v>0.8</v>
      </c>
      <c r="N105" s="32">
        <v>0.8</v>
      </c>
      <c r="O105" s="32">
        <v>0.8</v>
      </c>
      <c r="P105" s="32">
        <v>0.8</v>
      </c>
      <c r="Q105" s="32">
        <v>0.8</v>
      </c>
      <c r="R105" s="32">
        <v>0.8</v>
      </c>
      <c r="S105" s="32">
        <v>0.8</v>
      </c>
    </row>
    <row r="106" spans="2:19" x14ac:dyDescent="0.2">
      <c r="B106" t="s">
        <v>245</v>
      </c>
      <c r="D106" s="2" t="s">
        <v>246</v>
      </c>
      <c r="E106" s="21">
        <f>Hist!E22</f>
        <v>17.033999999999999</v>
      </c>
      <c r="F106" s="21">
        <f>Hist!F22</f>
        <v>19.587</v>
      </c>
      <c r="G106" s="21">
        <f>Hist!G22</f>
        <v>22.619</v>
      </c>
      <c r="H106" s="21">
        <f>Hist!H22</f>
        <v>22.934000000000001</v>
      </c>
      <c r="I106" s="21">
        <f>Hist!I22</f>
        <v>23.571000000000002</v>
      </c>
      <c r="J106" s="35">
        <v>22.5</v>
      </c>
      <c r="K106" s="35">
        <v>20.399999999999999</v>
      </c>
      <c r="L106" s="35">
        <v>18.5</v>
      </c>
      <c r="M106" s="35">
        <v>16.7</v>
      </c>
      <c r="N106" s="35">
        <v>14.9</v>
      </c>
      <c r="O106" s="35">
        <v>14.7</v>
      </c>
      <c r="P106" s="35">
        <v>14.7</v>
      </c>
      <c r="Q106" s="35">
        <v>14.7</v>
      </c>
      <c r="R106" s="35">
        <v>14.7</v>
      </c>
      <c r="S106" s="35">
        <v>14.7</v>
      </c>
    </row>
    <row r="107" spans="2:19" x14ac:dyDescent="0.2">
      <c r="B107" t="s">
        <v>247</v>
      </c>
      <c r="D107" s="2" t="s">
        <v>248</v>
      </c>
      <c r="F107" s="24">
        <f>IFERROR(Hist!F101/Hist!E101-1,"n.m.")</f>
        <v>2.020655590480458E-2</v>
      </c>
      <c r="G107" s="24">
        <f>IFERROR(Hist!G101/Hist!F101-1,"n.m.")</f>
        <v>9.6830985915492995E-2</v>
      </c>
      <c r="H107" s="24">
        <f>IFERROR(Hist!H101/Hist!G101-1,"n.m.")</f>
        <v>2.4077046548956593E-2</v>
      </c>
      <c r="I107" s="24">
        <f>IFERROR(Hist!I101/Hist!H101-1,"n.m.")</f>
        <v>-4.7021943573668512E-3</v>
      </c>
      <c r="J107" s="32">
        <v>0.02</v>
      </c>
      <c r="K107" s="32">
        <v>0.02</v>
      </c>
      <c r="L107" s="32">
        <v>0.02</v>
      </c>
      <c r="M107" s="32">
        <v>0.02</v>
      </c>
      <c r="N107" s="32">
        <v>0.02</v>
      </c>
      <c r="O107" s="32">
        <v>0.02</v>
      </c>
      <c r="P107" s="32">
        <v>0.02</v>
      </c>
      <c r="Q107" s="32">
        <v>0.02</v>
      </c>
      <c r="R107" s="32">
        <v>0.02</v>
      </c>
      <c r="S107" s="32">
        <v>0.02</v>
      </c>
    </row>
    <row r="108" spans="2:19" x14ac:dyDescent="0.2">
      <c r="B108" t="s">
        <v>249</v>
      </c>
      <c r="D108" s="2" t="s">
        <v>250</v>
      </c>
      <c r="G108" s="24">
        <f>IFERROR(Hist!G103/Hist!F103-1,"n.m.")</f>
        <v>-1.8739352640545159E-2</v>
      </c>
      <c r="H108" s="24">
        <f>IFERROR(Hist!H103/Hist!G103-1,"n.m.")</f>
        <v>6.0416666666666563E-2</v>
      </c>
      <c r="I108" s="24">
        <f>IFERROR(Hist!I103/Hist!H103-1,"n.m.")</f>
        <v>3.7000654878847516E-2</v>
      </c>
      <c r="J108" s="32">
        <v>0.01</v>
      </c>
      <c r="K108" s="32">
        <v>0.01</v>
      </c>
      <c r="L108" s="32">
        <v>0.01</v>
      </c>
      <c r="M108" s="32">
        <v>0.01</v>
      </c>
      <c r="N108" s="32">
        <v>0.01</v>
      </c>
      <c r="O108" s="32">
        <v>0.01</v>
      </c>
      <c r="P108" s="32">
        <v>0.01</v>
      </c>
      <c r="Q108" s="32">
        <v>0.01</v>
      </c>
      <c r="R108" s="32">
        <v>0.01</v>
      </c>
      <c r="S108" s="32">
        <v>0.01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S41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251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252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t="s">
        <v>253</v>
      </c>
      <c r="E7" s="16">
        <f>Hist!E83</f>
        <v>674.23</v>
      </c>
      <c r="F7" s="16">
        <f>Hist!F83</f>
        <v>644.21500000000003</v>
      </c>
      <c r="G7" s="16">
        <f>Hist!G83</f>
        <v>652.94299999999998</v>
      </c>
      <c r="H7" s="16">
        <f>Hist!H83</f>
        <v>644.51099999999997</v>
      </c>
      <c r="I7" s="16">
        <f>Hist!I83</f>
        <v>584.67700000000002</v>
      </c>
      <c r="J7" s="21">
        <f>I7*(1+Inputs!J30)</f>
        <v>526.20929999999998</v>
      </c>
      <c r="K7" s="21">
        <f>J7*(1+Inputs!K30)</f>
        <v>510.42302099999995</v>
      </c>
      <c r="L7" s="21">
        <f>K7*(1+Inputs!L30)</f>
        <v>510.42302099999995</v>
      </c>
      <c r="M7" s="21">
        <f>L7*(1+Inputs!M30)</f>
        <v>515.52725120999992</v>
      </c>
      <c r="N7" s="21">
        <f>M7*(1+Inputs!N30)</f>
        <v>525.83779623419991</v>
      </c>
      <c r="O7" s="21">
        <f>N7*(1+Inputs!O30)</f>
        <v>536.88038995511806</v>
      </c>
      <c r="P7" s="21">
        <f>O7*(1+Inputs!P30)</f>
        <v>548.69175853413071</v>
      </c>
      <c r="Q7" s="21">
        <f>P7*(1+Inputs!Q30)</f>
        <v>561.31166898041567</v>
      </c>
      <c r="R7" s="21">
        <f>Q7*(1+Inputs!R30)</f>
        <v>574.78314903594571</v>
      </c>
      <c r="S7" s="21">
        <f>R7*(1+Inputs!S30)</f>
        <v>589.15272776184429</v>
      </c>
    </row>
    <row r="8" spans="2:19" x14ac:dyDescent="0.2">
      <c r="B8" s="17" t="s">
        <v>22</v>
      </c>
      <c r="F8" s="18">
        <f>IFERROR(F7/E7-1,"n.m.")</f>
        <v>-4.4517449535025122E-2</v>
      </c>
      <c r="G8" s="18">
        <f>IFERROR(G7/F7-1,"n.m.")</f>
        <v>1.3548271927850131E-2</v>
      </c>
      <c r="H8" s="18">
        <f>IFERROR(H7/G7-1,"n.m.")</f>
        <v>-1.2913837808200768E-2</v>
      </c>
      <c r="I8" s="18">
        <f>IFERROR(I7/H7-1,"n.m.")</f>
        <v>-9.2836274322703471E-2</v>
      </c>
      <c r="J8" s="18">
        <f>Inputs!J30</f>
        <v>-0.1</v>
      </c>
      <c r="K8" s="18">
        <f>Inputs!K30</f>
        <v>-0.03</v>
      </c>
      <c r="L8" s="18">
        <f>Inputs!L30</f>
        <v>0</v>
      </c>
      <c r="M8" s="18">
        <f>Inputs!M30</f>
        <v>0.01</v>
      </c>
      <c r="N8" s="18">
        <f>Inputs!N30</f>
        <v>0.02</v>
      </c>
      <c r="O8" s="18">
        <f>Inputs!O30</f>
        <v>2.1000000000000001E-2</v>
      </c>
      <c r="P8" s="18">
        <f>Inputs!P30</f>
        <v>2.1999999999999999E-2</v>
      </c>
      <c r="Q8" s="18">
        <f>Inputs!Q30</f>
        <v>2.3E-2</v>
      </c>
      <c r="R8" s="18">
        <f>Inputs!R30</f>
        <v>2.4E-2</v>
      </c>
      <c r="S8" s="18">
        <f>Inputs!S30</f>
        <v>2.5000000000000001E-2</v>
      </c>
    </row>
    <row r="9" spans="2:19" x14ac:dyDescent="0.2">
      <c r="B9" t="s">
        <v>254</v>
      </c>
      <c r="E9" s="16">
        <f>Hist!E84</f>
        <v>879.74800000000005</v>
      </c>
      <c r="F9" s="16">
        <f>Hist!F84</f>
        <v>1000.441</v>
      </c>
      <c r="G9" s="16">
        <f>Hist!G84</f>
        <v>1124.942</v>
      </c>
      <c r="H9" s="16">
        <f>Hist!H84</f>
        <v>1188.9110000000001</v>
      </c>
      <c r="I9" s="16">
        <f>Hist!I84</f>
        <v>1124.9580000000001</v>
      </c>
      <c r="J9" s="21">
        <f>I9*(1+Inputs!J34)</f>
        <v>1158.7067400000001</v>
      </c>
      <c r="K9" s="21">
        <f>J9*(1+Inputs!K34)</f>
        <v>1193.4679422000002</v>
      </c>
      <c r="L9" s="21">
        <f>K9*(1+Inputs!L34)</f>
        <v>1229.2719804660003</v>
      </c>
      <c r="M9" s="21">
        <f>L9*(1+Inputs!M34)</f>
        <v>1266.1501398799803</v>
      </c>
      <c r="N9" s="21">
        <f>M9*(1+Inputs!N34)</f>
        <v>1304.1346440763798</v>
      </c>
      <c r="O9" s="21">
        <f>N9*(1+Inputs!O34)</f>
        <v>1341.9545487545947</v>
      </c>
      <c r="P9" s="21">
        <f>O9*(1+Inputs!P34)</f>
        <v>1379.5292761197234</v>
      </c>
      <c r="Q9" s="21">
        <f>P9*(1+Inputs!Q34)</f>
        <v>1416.7765665749557</v>
      </c>
      <c r="R9" s="21">
        <f>Q9*(1+Inputs!R34)</f>
        <v>1453.6127573059046</v>
      </c>
      <c r="S9" s="21">
        <f>R9*(1+Inputs!S34)</f>
        <v>1489.9530762385521</v>
      </c>
    </row>
    <row r="10" spans="2:19" x14ac:dyDescent="0.2">
      <c r="B10" s="17" t="s">
        <v>22</v>
      </c>
      <c r="F10" s="18">
        <f>IFERROR(F9/E9-1,"n.m.")</f>
        <v>0.13719042271195847</v>
      </c>
      <c r="G10" s="18">
        <f>IFERROR(G9/F9-1,"n.m.")</f>
        <v>0.1244461192614057</v>
      </c>
      <c r="H10" s="18">
        <f>IFERROR(H9/G9-1,"n.m.")</f>
        <v>5.6864265002106729E-2</v>
      </c>
      <c r="I10" s="18">
        <f>IFERROR(I9/H9-1,"n.m.")</f>
        <v>-5.3791242574086628E-2</v>
      </c>
      <c r="J10" s="18">
        <f>Inputs!J34</f>
        <v>0.03</v>
      </c>
      <c r="K10" s="18">
        <f>Inputs!K34</f>
        <v>0.03</v>
      </c>
      <c r="L10" s="18">
        <f>Inputs!L34</f>
        <v>0.03</v>
      </c>
      <c r="M10" s="18">
        <f>Inputs!M34</f>
        <v>0.03</v>
      </c>
      <c r="N10" s="18">
        <f>Inputs!N34</f>
        <v>0.03</v>
      </c>
      <c r="O10" s="18">
        <f>Inputs!O34</f>
        <v>2.9000000000000001E-2</v>
      </c>
      <c r="P10" s="18">
        <f>Inputs!P34</f>
        <v>2.8000000000000001E-2</v>
      </c>
      <c r="Q10" s="18">
        <f>Inputs!Q34</f>
        <v>2.7E-2</v>
      </c>
      <c r="R10" s="18">
        <f>Inputs!R34</f>
        <v>2.5999999999999999E-2</v>
      </c>
      <c r="S10" s="18">
        <f>Inputs!S34</f>
        <v>2.5000000000000001E-2</v>
      </c>
    </row>
    <row r="11" spans="2:19" x14ac:dyDescent="0.2">
      <c r="B11" t="s">
        <v>255</v>
      </c>
      <c r="E11" s="16">
        <f>Hist!E85</f>
        <v>499.851</v>
      </c>
      <c r="F11" s="16">
        <f>Hist!F85</f>
        <v>733.08699999999999</v>
      </c>
      <c r="G11" s="16">
        <f>Hist!G85</f>
        <v>840.59400000000005</v>
      </c>
      <c r="H11" s="16">
        <f>Hist!H85</f>
        <v>963.03499999999997</v>
      </c>
      <c r="I11" s="16">
        <f>Hist!I85</f>
        <v>1014.697</v>
      </c>
      <c r="J11" s="21">
        <f>I11*(1+Inputs!J38)</f>
        <v>1014.697</v>
      </c>
      <c r="K11" s="21">
        <f>J11*(1+Inputs!K38)</f>
        <v>1055.2848799999999</v>
      </c>
      <c r="L11" s="21">
        <f>K11*(1+Inputs!L38)</f>
        <v>1108.0491239999999</v>
      </c>
      <c r="M11" s="21">
        <f>L11*(1+Inputs!M38)</f>
        <v>1163.4515801999999</v>
      </c>
      <c r="N11" s="21">
        <f>M11*(1+Inputs!N38)</f>
        <v>1209.9896434079999</v>
      </c>
      <c r="O11" s="21">
        <f>N11*(1+Inputs!O38)</f>
        <v>1255.9692498575039</v>
      </c>
      <c r="P11" s="21">
        <f>O11*(1+Inputs!P38)</f>
        <v>1301.184142852374</v>
      </c>
      <c r="Q11" s="21">
        <f>P11*(1+Inputs!Q38)</f>
        <v>1345.4244037093547</v>
      </c>
      <c r="R11" s="21">
        <f>Q11*(1+Inputs!R38)</f>
        <v>1388.4779846280542</v>
      </c>
      <c r="S11" s="21">
        <f>R11*(1+Inputs!S38)</f>
        <v>1430.1323241668958</v>
      </c>
    </row>
    <row r="12" spans="2:19" x14ac:dyDescent="0.2">
      <c r="B12" s="17" t="s">
        <v>22</v>
      </c>
      <c r="F12" s="18">
        <f>IFERROR(F11/E11-1,"n.m.")</f>
        <v>0.46661105009292769</v>
      </c>
      <c r="G12" s="18">
        <f>IFERROR(G11/F11-1,"n.m.")</f>
        <v>0.14664971551807637</v>
      </c>
      <c r="H12" s="18">
        <f>IFERROR(H11/G11-1,"n.m.")</f>
        <v>0.14566009274394043</v>
      </c>
      <c r="I12" s="18">
        <f>IFERROR(I11/H11-1,"n.m.")</f>
        <v>5.3644986942323003E-2</v>
      </c>
      <c r="J12" s="18">
        <f>Inputs!J38</f>
        <v>0</v>
      </c>
      <c r="K12" s="18">
        <f>Inputs!K38</f>
        <v>0.04</v>
      </c>
      <c r="L12" s="18">
        <f>Inputs!L38</f>
        <v>0.05</v>
      </c>
      <c r="M12" s="18">
        <f>Inputs!M38</f>
        <v>0.05</v>
      </c>
      <c r="N12" s="18">
        <f>Inputs!N38</f>
        <v>0.04</v>
      </c>
      <c r="O12" s="18">
        <f>Inputs!O38</f>
        <v>3.7999999999999999E-2</v>
      </c>
      <c r="P12" s="18">
        <f>Inputs!P38</f>
        <v>3.5999999999999997E-2</v>
      </c>
      <c r="Q12" s="18">
        <f>Inputs!Q38</f>
        <v>3.4000000000000002E-2</v>
      </c>
      <c r="R12" s="18">
        <f>Inputs!R38</f>
        <v>3.2000000000000001E-2</v>
      </c>
      <c r="S12" s="18">
        <f>Inputs!S38</f>
        <v>0.03</v>
      </c>
    </row>
    <row r="13" spans="2:19" x14ac:dyDescent="0.2">
      <c r="B13" t="s">
        <v>256</v>
      </c>
      <c r="E13" s="16">
        <f>Hist!E86</f>
        <v>259.58699999999999</v>
      </c>
      <c r="F13" s="16">
        <f>Hist!F86</f>
        <v>281.38200000000001</v>
      </c>
      <c r="G13" s="16">
        <f>Hist!G86</f>
        <v>394.47500000000002</v>
      </c>
      <c r="H13" s="16">
        <f>Hist!H86</f>
        <v>481.51</v>
      </c>
      <c r="I13" s="16">
        <f>Hist!I86</f>
        <v>601.47500000000002</v>
      </c>
      <c r="J13" s="21">
        <f>I13*(1+Inputs!J42)</f>
        <v>709.7405</v>
      </c>
      <c r="K13" s="21">
        <f>J13*(1+Inputs!K42)</f>
        <v>794.90936000000011</v>
      </c>
      <c r="L13" s="21">
        <f>K13*(1+Inputs!L42)</f>
        <v>874.40029600000014</v>
      </c>
      <c r="M13" s="21">
        <f>L13*(1+Inputs!M42)</f>
        <v>944.35231968000016</v>
      </c>
      <c r="N13" s="21">
        <f>M13*(1+Inputs!N42)</f>
        <v>1010.4569820576003</v>
      </c>
      <c r="O13" s="21">
        <f>N13*(1+Inputs!O42)</f>
        <v>1074.1157719272289</v>
      </c>
      <c r="P13" s="21">
        <f>O13*(1+Inputs!P42)</f>
        <v>1134.2662551551539</v>
      </c>
      <c r="Q13" s="21">
        <f>P13*(1+Inputs!Q42)</f>
        <v>1189.8453016577564</v>
      </c>
      <c r="R13" s="21">
        <f>Q13*(1+Inputs!R42)</f>
        <v>1239.8188043273822</v>
      </c>
      <c r="S13" s="21">
        <f>R13*(1+Inputs!S42)</f>
        <v>1283.2124624788405</v>
      </c>
    </row>
    <row r="14" spans="2:19" x14ac:dyDescent="0.2">
      <c r="B14" s="17" t="s">
        <v>22</v>
      </c>
      <c r="F14" s="18">
        <f>IFERROR(F13/E13-1,"n.m.")</f>
        <v>8.396029076956868E-2</v>
      </c>
      <c r="G14" s="18">
        <f>IFERROR(G13/F13-1,"n.m.")</f>
        <v>0.4019198100802468</v>
      </c>
      <c r="H14" s="18">
        <f>IFERROR(H13/G13-1,"n.m.")</f>
        <v>0.22063502123074974</v>
      </c>
      <c r="I14" s="18">
        <f>IFERROR(I13/H13-1,"n.m.")</f>
        <v>0.24914331997258632</v>
      </c>
      <c r="J14" s="18">
        <f>Inputs!J42</f>
        <v>0.18</v>
      </c>
      <c r="K14" s="18">
        <f>Inputs!K42</f>
        <v>0.12</v>
      </c>
      <c r="L14" s="18">
        <f>Inputs!L42</f>
        <v>0.1</v>
      </c>
      <c r="M14" s="18">
        <f>Inputs!M42</f>
        <v>0.08</v>
      </c>
      <c r="N14" s="18">
        <f>Inputs!N42</f>
        <v>7.0000000000000007E-2</v>
      </c>
      <c r="O14" s="18">
        <f>Inputs!O42</f>
        <v>6.3E-2</v>
      </c>
      <c r="P14" s="18">
        <f>Inputs!P42</f>
        <v>5.6000000000000001E-2</v>
      </c>
      <c r="Q14" s="18">
        <f>Inputs!Q42</f>
        <v>4.9000000000000002E-2</v>
      </c>
      <c r="R14" s="18">
        <f>Inputs!R42</f>
        <v>4.2000000000000003E-2</v>
      </c>
      <c r="S14" s="18">
        <f>Inputs!S42</f>
        <v>3.5000000000000003E-2</v>
      </c>
    </row>
    <row r="15" spans="2:19" x14ac:dyDescent="0.2">
      <c r="B15" s="1" t="s">
        <v>257</v>
      </c>
      <c r="E15" s="41">
        <f t="shared" ref="E15:S15" si="0">E7+E9</f>
        <v>1553.9780000000001</v>
      </c>
      <c r="F15" s="41">
        <f t="shared" si="0"/>
        <v>1644.6559999999999</v>
      </c>
      <c r="G15" s="41">
        <f t="shared" si="0"/>
        <v>1777.885</v>
      </c>
      <c r="H15" s="41">
        <f t="shared" si="0"/>
        <v>1833.422</v>
      </c>
      <c r="I15" s="41">
        <f t="shared" si="0"/>
        <v>1709.6350000000002</v>
      </c>
      <c r="J15" s="41">
        <f t="shared" si="0"/>
        <v>1684.9160400000001</v>
      </c>
      <c r="K15" s="41">
        <f t="shared" si="0"/>
        <v>1703.8909632</v>
      </c>
      <c r="L15" s="41">
        <f t="shared" si="0"/>
        <v>1739.6950014660001</v>
      </c>
      <c r="M15" s="41">
        <f t="shared" si="0"/>
        <v>1781.6773910899801</v>
      </c>
      <c r="N15" s="41">
        <f t="shared" si="0"/>
        <v>1829.9724403105797</v>
      </c>
      <c r="O15" s="41">
        <f t="shared" si="0"/>
        <v>1878.8349387097128</v>
      </c>
      <c r="P15" s="41">
        <f t="shared" si="0"/>
        <v>1928.2210346538541</v>
      </c>
      <c r="Q15" s="41">
        <f t="shared" si="0"/>
        <v>1978.0882355553713</v>
      </c>
      <c r="R15" s="41">
        <f t="shared" si="0"/>
        <v>2028.3959063418502</v>
      </c>
      <c r="S15" s="41">
        <f t="shared" si="0"/>
        <v>2079.1058040003963</v>
      </c>
    </row>
    <row r="16" spans="2:19" x14ac:dyDescent="0.2">
      <c r="B16" s="1" t="s">
        <v>258</v>
      </c>
      <c r="E16" s="41">
        <f t="shared" ref="E16:S16" si="1">E11+E13</f>
        <v>759.43799999999999</v>
      </c>
      <c r="F16" s="41">
        <f t="shared" si="1"/>
        <v>1014.4690000000001</v>
      </c>
      <c r="G16" s="41">
        <f t="shared" si="1"/>
        <v>1235.069</v>
      </c>
      <c r="H16" s="41">
        <f t="shared" si="1"/>
        <v>1444.5450000000001</v>
      </c>
      <c r="I16" s="41">
        <f t="shared" si="1"/>
        <v>1616.172</v>
      </c>
      <c r="J16" s="41">
        <f t="shared" si="1"/>
        <v>1724.4375</v>
      </c>
      <c r="K16" s="41">
        <f t="shared" si="1"/>
        <v>1850.19424</v>
      </c>
      <c r="L16" s="41">
        <f t="shared" si="1"/>
        <v>1982.4494199999999</v>
      </c>
      <c r="M16" s="41">
        <f t="shared" si="1"/>
        <v>2107.8038998800002</v>
      </c>
      <c r="N16" s="41">
        <f t="shared" si="1"/>
        <v>2220.4466254655999</v>
      </c>
      <c r="O16" s="41">
        <f t="shared" si="1"/>
        <v>2330.0850217847328</v>
      </c>
      <c r="P16" s="41">
        <f t="shared" si="1"/>
        <v>2435.4503980075278</v>
      </c>
      <c r="Q16" s="41">
        <f t="shared" si="1"/>
        <v>2535.2697053671109</v>
      </c>
      <c r="R16" s="41">
        <f t="shared" si="1"/>
        <v>2628.2967889554366</v>
      </c>
      <c r="S16" s="41">
        <f t="shared" si="1"/>
        <v>2713.3447866457363</v>
      </c>
    </row>
    <row r="17" spans="2:19" x14ac:dyDescent="0.2">
      <c r="B17" s="1" t="s">
        <v>23</v>
      </c>
      <c r="E17" s="42">
        <f t="shared" ref="E17:S17" si="2">E15+E16</f>
        <v>2313.4160000000002</v>
      </c>
      <c r="F17" s="42">
        <f t="shared" si="2"/>
        <v>2659.125</v>
      </c>
      <c r="G17" s="42">
        <f t="shared" si="2"/>
        <v>3012.9539999999997</v>
      </c>
      <c r="H17" s="42">
        <f t="shared" si="2"/>
        <v>3277.9670000000001</v>
      </c>
      <c r="I17" s="42">
        <f t="shared" si="2"/>
        <v>3325.8070000000002</v>
      </c>
      <c r="J17" s="42">
        <f t="shared" si="2"/>
        <v>3409.3535400000001</v>
      </c>
      <c r="K17" s="42">
        <f t="shared" si="2"/>
        <v>3554.0852032000003</v>
      </c>
      <c r="L17" s="42">
        <f t="shared" si="2"/>
        <v>3722.144421466</v>
      </c>
      <c r="M17" s="42">
        <f t="shared" si="2"/>
        <v>3889.4812909699804</v>
      </c>
      <c r="N17" s="42">
        <f t="shared" si="2"/>
        <v>4050.4190657761797</v>
      </c>
      <c r="O17" s="42">
        <f t="shared" si="2"/>
        <v>4208.9199604944461</v>
      </c>
      <c r="P17" s="42">
        <f t="shared" si="2"/>
        <v>4363.6714326613819</v>
      </c>
      <c r="Q17" s="42">
        <f t="shared" si="2"/>
        <v>4513.3579409224822</v>
      </c>
      <c r="R17" s="42">
        <f t="shared" si="2"/>
        <v>4656.6926952972863</v>
      </c>
      <c r="S17" s="42">
        <f t="shared" si="2"/>
        <v>4792.4505906461327</v>
      </c>
    </row>
    <row r="18" spans="2:19" x14ac:dyDescent="0.2">
      <c r="B18" s="17" t="s">
        <v>22</v>
      </c>
      <c r="F18" s="18">
        <f>IFERROR(F17/E17-1,"n.m.")</f>
        <v>0.14943659073854421</v>
      </c>
      <c r="G18" s="18">
        <f>IFERROR(G17/F17-1,"n.m.")</f>
        <v>0.13306219151036514</v>
      </c>
      <c r="H18" s="18">
        <f>IFERROR(H17/G17-1,"n.m.")</f>
        <v>8.7957864607292491E-2</v>
      </c>
      <c r="I18" s="18">
        <f>IFERROR(I17/H17-1,"n.m.")</f>
        <v>1.4594411719214939E-2</v>
      </c>
      <c r="J18" s="18">
        <f t="shared" ref="J18:S18" si="3">J17/I17-1</f>
        <v>2.5120681987860438E-2</v>
      </c>
      <c r="K18" s="18">
        <f t="shared" si="3"/>
        <v>4.2451350821188338E-2</v>
      </c>
      <c r="L18" s="18">
        <f t="shared" si="3"/>
        <v>4.7286209715705185E-2</v>
      </c>
      <c r="M18" s="18">
        <f t="shared" si="3"/>
        <v>4.495711357649923E-2</v>
      </c>
      <c r="N18" s="18">
        <f t="shared" si="3"/>
        <v>4.1377696090180605E-2</v>
      </c>
      <c r="O18" s="18">
        <f t="shared" si="3"/>
        <v>3.9131974283232118E-2</v>
      </c>
      <c r="P18" s="18">
        <f t="shared" si="3"/>
        <v>3.6767501786552526E-2</v>
      </c>
      <c r="Q18" s="18">
        <f t="shared" si="3"/>
        <v>3.4302882462854623E-2</v>
      </c>
      <c r="R18" s="18">
        <f t="shared" si="3"/>
        <v>3.1757896504328142E-2</v>
      </c>
      <c r="S18" s="18">
        <f t="shared" si="3"/>
        <v>2.9153286298223113E-2</v>
      </c>
    </row>
    <row r="19" spans="2:19" x14ac:dyDescent="0.2">
      <c r="B19" s="3" t="s">
        <v>259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2:19" x14ac:dyDescent="0.2">
      <c r="B20" t="s">
        <v>260</v>
      </c>
      <c r="E20" s="16">
        <f>Hist!E87</f>
        <v>0</v>
      </c>
      <c r="F20" s="16">
        <f>Hist!F87</f>
        <v>574.14</v>
      </c>
      <c r="G20" s="16">
        <f>Hist!G87</f>
        <v>566.93700000000001</v>
      </c>
      <c r="H20" s="16">
        <f>Hist!H87</f>
        <v>456.47199999999998</v>
      </c>
      <c r="I20" s="16">
        <f>Hist!I87</f>
        <v>336.32499999999999</v>
      </c>
      <c r="J20" s="21">
        <f>I20*(1+Inputs!J46)</f>
        <v>285.87624999999997</v>
      </c>
      <c r="K20" s="21">
        <f>J20*(1+Inputs!K46)</f>
        <v>268.72367499999996</v>
      </c>
      <c r="L20" s="21">
        <f>K20*(1+Inputs!L46)</f>
        <v>263.34920149999994</v>
      </c>
      <c r="M20" s="21">
        <f>L20*(1+Inputs!M46)</f>
        <v>265.98269351499994</v>
      </c>
      <c r="N20" s="21">
        <f>M20*(1+Inputs!N46)</f>
        <v>271.30234738529992</v>
      </c>
      <c r="O20" s="21">
        <f>N20*(1+Inputs!O46)</f>
        <v>276.9996966803912</v>
      </c>
      <c r="P20" s="21">
        <f>O20*(1+Inputs!P46)</f>
        <v>283.09369000735978</v>
      </c>
      <c r="Q20" s="21">
        <f>P20*(1+Inputs!Q46)</f>
        <v>289.60484487752905</v>
      </c>
      <c r="R20" s="21">
        <f>Q20*(1+Inputs!R46)</f>
        <v>296.55536115458978</v>
      </c>
      <c r="S20" s="21">
        <f>R20*(1+Inputs!S46)</f>
        <v>303.96924518345452</v>
      </c>
    </row>
    <row r="21" spans="2:19" x14ac:dyDescent="0.2">
      <c r="B21" s="17" t="s">
        <v>22</v>
      </c>
      <c r="F21" s="18" t="str">
        <f>IFERROR(F20/E20-1,"n.m.")</f>
        <v>n.m.</v>
      </c>
      <c r="G21" s="18">
        <f>IFERROR(G20/F20-1,"n.m.")</f>
        <v>-1.2545720555961926E-2</v>
      </c>
      <c r="H21" s="18">
        <f>IFERROR(H20/G20-1,"n.m.")</f>
        <v>-0.19484528263281464</v>
      </c>
      <c r="I21" s="18">
        <f>IFERROR(I20/H20-1,"n.m.")</f>
        <v>-0.26320781997581455</v>
      </c>
      <c r="J21" s="18">
        <f>Inputs!J46</f>
        <v>-0.15</v>
      </c>
      <c r="K21" s="18">
        <f>Inputs!K46</f>
        <v>-0.06</v>
      </c>
      <c r="L21" s="18">
        <f>Inputs!L46</f>
        <v>-0.02</v>
      </c>
      <c r="M21" s="18">
        <f>Inputs!M46</f>
        <v>0.01</v>
      </c>
      <c r="N21" s="18">
        <f>Inputs!N46</f>
        <v>0.02</v>
      </c>
      <c r="O21" s="18">
        <f>Inputs!O46</f>
        <v>2.1000000000000001E-2</v>
      </c>
      <c r="P21" s="18">
        <f>Inputs!P46</f>
        <v>2.1999999999999999E-2</v>
      </c>
      <c r="Q21" s="18">
        <f>Inputs!Q46</f>
        <v>2.3E-2</v>
      </c>
      <c r="R21" s="18">
        <f>Inputs!R46</f>
        <v>2.4E-2</v>
      </c>
      <c r="S21" s="18">
        <f>Inputs!S46</f>
        <v>2.5000000000000001E-2</v>
      </c>
    </row>
    <row r="22" spans="2:19" x14ac:dyDescent="0.2">
      <c r="B22" t="s">
        <v>261</v>
      </c>
      <c r="E22" s="16">
        <f>Hist!E88</f>
        <v>0</v>
      </c>
      <c r="F22" s="16">
        <f>Hist!F88</f>
        <v>321.72000000000003</v>
      </c>
      <c r="G22" s="16">
        <f>Hist!G88</f>
        <v>382.45600000000002</v>
      </c>
      <c r="H22" s="16">
        <f>Hist!H88</f>
        <v>367.66899999999998</v>
      </c>
      <c r="I22" s="16">
        <f>Hist!I88</f>
        <v>378.51499999999999</v>
      </c>
      <c r="J22" s="21">
        <f>I22*(1+Inputs!J50)</f>
        <v>408.7962</v>
      </c>
      <c r="K22" s="21">
        <f>J22*(1+Inputs!K50)</f>
        <v>425.14804800000002</v>
      </c>
      <c r="L22" s="21">
        <f>K22*(1+Inputs!L50)</f>
        <v>437.90248944000001</v>
      </c>
      <c r="M22" s="21">
        <f>L22*(1+Inputs!M50)</f>
        <v>450.72690174573984</v>
      </c>
      <c r="N22" s="21">
        <f>M22*(1+Inputs!N50)</f>
        <v>463.60462005551733</v>
      </c>
      <c r="O22" s="21">
        <f>N22*(1+Inputs!O50)</f>
        <v>476.51925395640387</v>
      </c>
      <c r="P22" s="21">
        <f>O22*(1+Inputs!P50)</f>
        <v>489.4534160665425</v>
      </c>
      <c r="Q22" s="21">
        <f>P22*(1+Inputs!Q50)</f>
        <v>502.38918039976517</v>
      </c>
      <c r="R22" s="21">
        <f>Q22*(1+Inputs!R50)</f>
        <v>515.30761578456475</v>
      </c>
      <c r="S22" s="21">
        <f>R22*(1+Inputs!S50)</f>
        <v>528.19030617917883</v>
      </c>
    </row>
    <row r="23" spans="2:19" x14ac:dyDescent="0.2">
      <c r="B23" s="17" t="s">
        <v>22</v>
      </c>
      <c r="F23" s="18" t="str">
        <f>IFERROR(F22/E22-1,"n.m.")</f>
        <v>n.m.</v>
      </c>
      <c r="G23" s="18">
        <f>IFERROR(G22/F22-1,"n.m.")</f>
        <v>0.18878527912470466</v>
      </c>
      <c r="H23" s="18">
        <f>IFERROR(H22/G22-1,"n.m.")</f>
        <v>-3.8663271069090399E-2</v>
      </c>
      <c r="I23" s="18">
        <f>IFERROR(I22/H22-1,"n.m.")</f>
        <v>2.9499359478226461E-2</v>
      </c>
      <c r="J23" s="18">
        <f>Inputs!J50</f>
        <v>0.08</v>
      </c>
      <c r="K23" s="18">
        <f>Inputs!K50</f>
        <v>0.04</v>
      </c>
      <c r="L23" s="18">
        <f>Inputs!L50</f>
        <v>0.03</v>
      </c>
      <c r="M23" s="18">
        <f>Inputs!M50</f>
        <v>2.9286E-2</v>
      </c>
      <c r="N23" s="18">
        <f>Inputs!N50</f>
        <v>2.8570999999999999E-2</v>
      </c>
      <c r="O23" s="18">
        <f>Inputs!O50</f>
        <v>2.7857E-2</v>
      </c>
      <c r="P23" s="18">
        <f>Inputs!P50</f>
        <v>2.7143E-2</v>
      </c>
      <c r="Q23" s="18">
        <f>Inputs!Q50</f>
        <v>2.6429000000000001E-2</v>
      </c>
      <c r="R23" s="18">
        <f>Inputs!R50</f>
        <v>2.5714000000000001E-2</v>
      </c>
      <c r="S23" s="18">
        <f>Inputs!S50</f>
        <v>2.5000000000000001E-2</v>
      </c>
    </row>
    <row r="24" spans="2:19" x14ac:dyDescent="0.2">
      <c r="B24" s="1" t="s">
        <v>24</v>
      </c>
      <c r="E24" s="42">
        <f t="shared" ref="E24:S24" si="4">E20+E22</f>
        <v>0</v>
      </c>
      <c r="F24" s="42">
        <f t="shared" si="4"/>
        <v>895.86</v>
      </c>
      <c r="G24" s="42">
        <f t="shared" si="4"/>
        <v>949.39300000000003</v>
      </c>
      <c r="H24" s="42">
        <f t="shared" si="4"/>
        <v>824.14099999999996</v>
      </c>
      <c r="I24" s="42">
        <f t="shared" si="4"/>
        <v>714.83999999999992</v>
      </c>
      <c r="J24" s="42">
        <f t="shared" si="4"/>
        <v>694.67245000000003</v>
      </c>
      <c r="K24" s="42">
        <f t="shared" si="4"/>
        <v>693.87172299999997</v>
      </c>
      <c r="L24" s="42">
        <f t="shared" si="4"/>
        <v>701.25169093999989</v>
      </c>
      <c r="M24" s="42">
        <f t="shared" si="4"/>
        <v>716.70959526073977</v>
      </c>
      <c r="N24" s="42">
        <f t="shared" si="4"/>
        <v>734.9069674408172</v>
      </c>
      <c r="O24" s="42">
        <f t="shared" si="4"/>
        <v>753.51895063679513</v>
      </c>
      <c r="P24" s="42">
        <f t="shared" si="4"/>
        <v>772.54710607390234</v>
      </c>
      <c r="Q24" s="42">
        <f t="shared" si="4"/>
        <v>791.99402527729421</v>
      </c>
      <c r="R24" s="42">
        <f t="shared" si="4"/>
        <v>811.86297693915458</v>
      </c>
      <c r="S24" s="42">
        <f t="shared" si="4"/>
        <v>832.15955136263335</v>
      </c>
    </row>
    <row r="25" spans="2:19" x14ac:dyDescent="0.2">
      <c r="B25" s="17" t="s">
        <v>22</v>
      </c>
      <c r="G25" s="18">
        <f>IFERROR(G24/F24-1,"n.m.")</f>
        <v>5.9755988658942272E-2</v>
      </c>
      <c r="H25" s="18">
        <f>IFERROR(H24/G24-1,"n.m.")</f>
        <v>-0.13192850589797911</v>
      </c>
      <c r="I25" s="18">
        <f>IFERROR(I24/H24-1,"n.m.")</f>
        <v>-0.13262415047910492</v>
      </c>
      <c r="J25" s="18">
        <f t="shared" ref="J25:S25" si="5">J24/I24-1</f>
        <v>-2.8212676962676819E-2</v>
      </c>
      <c r="K25" s="18">
        <f t="shared" si="5"/>
        <v>-1.1526684266808251E-3</v>
      </c>
      <c r="L25" s="18">
        <f t="shared" si="5"/>
        <v>1.0635925482151309E-2</v>
      </c>
      <c r="M25" s="18">
        <f t="shared" si="5"/>
        <v>2.2043304166609934E-2</v>
      </c>
      <c r="N25" s="18">
        <f t="shared" si="5"/>
        <v>2.5390161231840569E-2</v>
      </c>
      <c r="O25" s="18">
        <f t="shared" si="5"/>
        <v>2.5325631706542229E-2</v>
      </c>
      <c r="P25" s="18">
        <f t="shared" si="5"/>
        <v>2.5252391357943438E-2</v>
      </c>
      <c r="Q25" s="18">
        <f t="shared" si="5"/>
        <v>2.5172470455842477E-2</v>
      </c>
      <c r="R25" s="18">
        <f t="shared" si="5"/>
        <v>2.5087249433357606E-2</v>
      </c>
      <c r="S25" s="18">
        <f t="shared" si="5"/>
        <v>2.4999999999999911E-2</v>
      </c>
    </row>
    <row r="26" spans="2:19" x14ac:dyDescent="0.2">
      <c r="B26" s="3" t="s">
        <v>262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2:19" x14ac:dyDescent="0.2">
      <c r="B27" s="1" t="s">
        <v>263</v>
      </c>
      <c r="E27" s="42">
        <f t="shared" ref="E27:S27" si="6">E17+E24</f>
        <v>2313.4160000000002</v>
      </c>
      <c r="F27" s="42">
        <f t="shared" si="6"/>
        <v>3554.9850000000001</v>
      </c>
      <c r="G27" s="42">
        <f t="shared" si="6"/>
        <v>3962.3469999999998</v>
      </c>
      <c r="H27" s="42">
        <f t="shared" si="6"/>
        <v>4102.1080000000002</v>
      </c>
      <c r="I27" s="42">
        <f t="shared" si="6"/>
        <v>4040.6469999999999</v>
      </c>
      <c r="J27" s="42">
        <f t="shared" si="6"/>
        <v>4104.0259900000001</v>
      </c>
      <c r="K27" s="42">
        <f t="shared" si="6"/>
        <v>4247.9569262000005</v>
      </c>
      <c r="L27" s="42">
        <f t="shared" si="6"/>
        <v>4423.3961124059997</v>
      </c>
      <c r="M27" s="42">
        <f t="shared" si="6"/>
        <v>4606.19088623072</v>
      </c>
      <c r="N27" s="42">
        <f t="shared" si="6"/>
        <v>4785.3260332169966</v>
      </c>
      <c r="O27" s="42">
        <f t="shared" si="6"/>
        <v>4962.4389111312412</v>
      </c>
      <c r="P27" s="42">
        <f t="shared" si="6"/>
        <v>5136.2185387352838</v>
      </c>
      <c r="Q27" s="42">
        <f t="shared" si="6"/>
        <v>5305.3519661997761</v>
      </c>
      <c r="R27" s="42">
        <f t="shared" si="6"/>
        <v>5468.5556722364408</v>
      </c>
      <c r="S27" s="42">
        <f t="shared" si="6"/>
        <v>5624.6101420087662</v>
      </c>
    </row>
    <row r="28" spans="2:19" x14ac:dyDescent="0.2">
      <c r="B28" s="17" t="s">
        <v>22</v>
      </c>
      <c r="F28" s="18">
        <f>IFERROR(F27/E27-1,"n.m.")</f>
        <v>0.53668211856406289</v>
      </c>
      <c r="G28" s="18">
        <f>IFERROR(G27/F27-1,"n.m.")</f>
        <v>0.11458895044564166</v>
      </c>
      <c r="H28" s="18">
        <f>IFERROR(H27/G27-1,"n.m.")</f>
        <v>3.5272276759203747E-2</v>
      </c>
      <c r="I28" s="18">
        <f>IFERROR(I27/H27-1,"n.m.")</f>
        <v>-1.4982784461062493E-2</v>
      </c>
      <c r="J28" s="18">
        <f t="shared" ref="J28:S28" si="7">J27/I27-1</f>
        <v>1.5685356825280827E-2</v>
      </c>
      <c r="K28" s="18">
        <f t="shared" si="7"/>
        <v>3.5070668789795034E-2</v>
      </c>
      <c r="L28" s="18">
        <f t="shared" si="7"/>
        <v>4.1299662226786715E-2</v>
      </c>
      <c r="M28" s="18">
        <f t="shared" si="7"/>
        <v>4.1324531916110407E-2</v>
      </c>
      <c r="N28" s="18">
        <f t="shared" si="7"/>
        <v>3.8890083240311402E-2</v>
      </c>
      <c r="O28" s="18">
        <f t="shared" si="7"/>
        <v>3.7011663716291832E-2</v>
      </c>
      <c r="P28" s="18">
        <f t="shared" si="7"/>
        <v>3.501899584380519E-2</v>
      </c>
      <c r="Q28" s="18">
        <f t="shared" si="7"/>
        <v>3.2929562126096545E-2</v>
      </c>
      <c r="R28" s="18">
        <f t="shared" si="7"/>
        <v>3.0762088373482044E-2</v>
      </c>
      <c r="S28" s="18">
        <f t="shared" si="7"/>
        <v>2.8536688501610286E-2</v>
      </c>
    </row>
    <row r="29" spans="2:19" x14ac:dyDescent="0.2">
      <c r="B29" t="s">
        <v>264</v>
      </c>
      <c r="E29" s="21">
        <f t="shared" ref="E29:S29" si="8">E9+E13+E22</f>
        <v>1139.335</v>
      </c>
      <c r="F29" s="21">
        <f t="shared" si="8"/>
        <v>1603.5430000000001</v>
      </c>
      <c r="G29" s="21">
        <f t="shared" si="8"/>
        <v>1901.873</v>
      </c>
      <c r="H29" s="21">
        <f t="shared" si="8"/>
        <v>2038.0900000000001</v>
      </c>
      <c r="I29" s="21">
        <f t="shared" si="8"/>
        <v>2104.9479999999999</v>
      </c>
      <c r="J29" s="21">
        <f t="shared" si="8"/>
        <v>2277.2434400000002</v>
      </c>
      <c r="K29" s="21">
        <f t="shared" si="8"/>
        <v>2413.5253502000005</v>
      </c>
      <c r="L29" s="21">
        <f t="shared" si="8"/>
        <v>2541.5747659060003</v>
      </c>
      <c r="M29" s="21">
        <f t="shared" si="8"/>
        <v>2661.2293613057204</v>
      </c>
      <c r="N29" s="21">
        <f t="shared" si="8"/>
        <v>2778.1962461894973</v>
      </c>
      <c r="O29" s="21">
        <f t="shared" si="8"/>
        <v>2892.5895746382275</v>
      </c>
      <c r="P29" s="21">
        <f t="shared" si="8"/>
        <v>3003.2489473414198</v>
      </c>
      <c r="Q29" s="21">
        <f t="shared" si="8"/>
        <v>3109.0110486324775</v>
      </c>
      <c r="R29" s="21">
        <f t="shared" si="8"/>
        <v>3208.7391774178518</v>
      </c>
      <c r="S29" s="21">
        <f t="shared" si="8"/>
        <v>3301.3558448965714</v>
      </c>
    </row>
    <row r="30" spans="2:19" x14ac:dyDescent="0.2">
      <c r="B30" s="17" t="s">
        <v>265</v>
      </c>
      <c r="E30" s="18">
        <f t="shared" ref="E30:S30" si="9">E29/E27</f>
        <v>0.4924903259941143</v>
      </c>
      <c r="F30" s="18">
        <f t="shared" si="9"/>
        <v>0.45106885120471679</v>
      </c>
      <c r="G30" s="18">
        <f t="shared" si="9"/>
        <v>0.4799864827588296</v>
      </c>
      <c r="H30" s="18">
        <f t="shared" si="9"/>
        <v>0.49683967365071813</v>
      </c>
      <c r="I30" s="18">
        <f t="shared" si="9"/>
        <v>0.52094330437674952</v>
      </c>
      <c r="J30" s="18">
        <f t="shared" si="9"/>
        <v>0.55488036517039707</v>
      </c>
      <c r="K30" s="18">
        <f t="shared" si="9"/>
        <v>0.56816144610934505</v>
      </c>
      <c r="L30" s="18">
        <f t="shared" si="9"/>
        <v>0.57457543962156532</v>
      </c>
      <c r="M30" s="18">
        <f t="shared" si="9"/>
        <v>0.57775055941796283</v>
      </c>
      <c r="N30" s="18">
        <f t="shared" si="9"/>
        <v>0.58056571838676152</v>
      </c>
      <c r="O30" s="18">
        <f t="shared" si="9"/>
        <v>0.58289676234600352</v>
      </c>
      <c r="P30" s="18">
        <f t="shared" si="9"/>
        <v>0.58471985268775661</v>
      </c>
      <c r="Q30" s="18">
        <f t="shared" si="9"/>
        <v>0.58601409829920525</v>
      </c>
      <c r="R30" s="18">
        <f t="shared" si="9"/>
        <v>0.58676172827652573</v>
      </c>
      <c r="S30" s="18">
        <f t="shared" si="9"/>
        <v>0.58694838602938781</v>
      </c>
    </row>
    <row r="31" spans="2:19" x14ac:dyDescent="0.2">
      <c r="B31" s="17" t="s">
        <v>266</v>
      </c>
      <c r="E31" s="18">
        <f t="shared" ref="E31:S31" si="10">E16/E17</f>
        <v>0.32827558899912507</v>
      </c>
      <c r="F31" s="18">
        <f t="shared" si="10"/>
        <v>0.38150481831429511</v>
      </c>
      <c r="G31" s="18">
        <f t="shared" si="10"/>
        <v>0.40991963368840018</v>
      </c>
      <c r="H31" s="18">
        <f t="shared" si="10"/>
        <v>0.44068320394927712</v>
      </c>
      <c r="I31" s="18">
        <f t="shared" si="10"/>
        <v>0.48594882384936944</v>
      </c>
      <c r="J31" s="18">
        <f t="shared" si="10"/>
        <v>0.50579603428279252</v>
      </c>
      <c r="K31" s="18">
        <f t="shared" si="10"/>
        <v>0.52058240987980142</v>
      </c>
      <c r="L31" s="18">
        <f t="shared" si="10"/>
        <v>0.532609484083155</v>
      </c>
      <c r="M31" s="18">
        <f t="shared" si="10"/>
        <v>0.54192416473980376</v>
      </c>
      <c r="N31" s="18">
        <f t="shared" si="10"/>
        <v>0.54820170194910356</v>
      </c>
      <c r="O31" s="18">
        <f t="shared" si="10"/>
        <v>0.55360639870923189</v>
      </c>
      <c r="P31" s="18">
        <f t="shared" si="10"/>
        <v>0.55811956413092234</v>
      </c>
      <c r="Q31" s="18">
        <f t="shared" si="10"/>
        <v>0.56172582333430632</v>
      </c>
      <c r="R31" s="18">
        <f t="shared" si="10"/>
        <v>0.56441276264798579</v>
      </c>
      <c r="S31" s="18">
        <f t="shared" si="10"/>
        <v>0.56617063344202678</v>
      </c>
    </row>
    <row r="32" spans="2:19" x14ac:dyDescent="0.2">
      <c r="B32" s="17" t="s">
        <v>267</v>
      </c>
      <c r="E32" s="18">
        <f t="shared" ref="E32:S32" si="11">E24/E27</f>
        <v>0</v>
      </c>
      <c r="F32" s="18">
        <f t="shared" si="11"/>
        <v>0.25200106329562572</v>
      </c>
      <c r="G32" s="18">
        <f t="shared" si="11"/>
        <v>0.23960369952454949</v>
      </c>
      <c r="H32" s="18">
        <f t="shared" si="11"/>
        <v>0.20090670455287865</v>
      </c>
      <c r="I32" s="18">
        <f t="shared" si="11"/>
        <v>0.17691226182341588</v>
      </c>
      <c r="J32" s="18">
        <f t="shared" si="11"/>
        <v>0.16926609424322872</v>
      </c>
      <c r="K32" s="18">
        <f t="shared" si="11"/>
        <v>0.16334245734000444</v>
      </c>
      <c r="L32" s="18">
        <f t="shared" si="11"/>
        <v>0.15853242014054467</v>
      </c>
      <c r="M32" s="18">
        <f t="shared" si="11"/>
        <v>0.15559702430118533</v>
      </c>
      <c r="N32" s="18">
        <f t="shared" si="11"/>
        <v>0.15357510906038863</v>
      </c>
      <c r="O32" s="18">
        <f t="shared" si="11"/>
        <v>0.15184447892075359</v>
      </c>
      <c r="P32" s="18">
        <f t="shared" si="11"/>
        <v>0.15041165017564273</v>
      </c>
      <c r="Q32" s="18">
        <f t="shared" si="11"/>
        <v>0.14928208916638561</v>
      </c>
      <c r="R32" s="18">
        <f t="shared" si="11"/>
        <v>0.14846021977264284</v>
      </c>
      <c r="S32" s="18">
        <f t="shared" si="11"/>
        <v>0.14794972991060265</v>
      </c>
    </row>
    <row r="33" spans="2:19" x14ac:dyDescent="0.2">
      <c r="B33" s="3" t="s">
        <v>268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spans="2:19" x14ac:dyDescent="0.2">
      <c r="B34" t="s">
        <v>269</v>
      </c>
      <c r="E34" s="20">
        <f>Hist!E101</f>
        <v>22.27</v>
      </c>
      <c r="F34" s="20">
        <f>Hist!F101</f>
        <v>22.72</v>
      </c>
      <c r="G34" s="20">
        <f>Hist!G101</f>
        <v>24.92</v>
      </c>
      <c r="H34" s="20">
        <f>Hist!H101</f>
        <v>25.52</v>
      </c>
      <c r="I34" s="20">
        <f>Hist!I101</f>
        <v>25.4</v>
      </c>
      <c r="J34" s="27">
        <f>I34*(1+Inputs!J107)</f>
        <v>25.907999999999998</v>
      </c>
      <c r="K34" s="27">
        <f>J34*(1+Inputs!K107)</f>
        <v>26.426159999999999</v>
      </c>
      <c r="L34" s="27">
        <f>K34*(1+Inputs!L107)</f>
        <v>26.954683200000002</v>
      </c>
      <c r="M34" s="27">
        <f>L34*(1+Inputs!M107)</f>
        <v>27.493776864000001</v>
      </c>
      <c r="N34" s="27">
        <f>M34*(1+Inputs!N107)</f>
        <v>28.043652401280003</v>
      </c>
      <c r="O34" s="27">
        <f>N34*(1+Inputs!O107)</f>
        <v>28.604525449305605</v>
      </c>
      <c r="P34" s="27">
        <f>O34*(1+Inputs!P107)</f>
        <v>29.176615958291716</v>
      </c>
      <c r="Q34" s="27">
        <f>P34*(1+Inputs!Q107)</f>
        <v>29.760148277457549</v>
      </c>
      <c r="R34" s="27">
        <f>Q34*(1+Inputs!R107)</f>
        <v>30.355351243006702</v>
      </c>
      <c r="S34" s="27">
        <f>R34*(1+Inputs!S107)</f>
        <v>30.962458267866836</v>
      </c>
    </row>
    <row r="35" spans="2:19" x14ac:dyDescent="0.2">
      <c r="B35" s="17" t="s">
        <v>270</v>
      </c>
      <c r="E35" s="18">
        <f>Hist!E100*Hist!E101/E17</f>
        <v>0.99115928133980225</v>
      </c>
      <c r="F35" s="18">
        <f>Hist!F100*Hist!F101/F17</f>
        <v>0.98734649931838492</v>
      </c>
      <c r="G35" s="18">
        <f>Hist!G100*Hist!G101/G17</f>
        <v>0.98901571016351419</v>
      </c>
      <c r="H35" s="18">
        <f>Hist!H100*Hist!H101/H17</f>
        <v>0.98873478592066355</v>
      </c>
      <c r="I35" s="18">
        <f>Hist!I100*Hist!I101/I17</f>
        <v>0.9847309840889743</v>
      </c>
      <c r="J35" s="18">
        <f t="shared" ref="J35:S35" si="12">$I$35</f>
        <v>0.9847309840889743</v>
      </c>
      <c r="K35" s="18">
        <f t="shared" si="12"/>
        <v>0.9847309840889743</v>
      </c>
      <c r="L35" s="18">
        <f t="shared" si="12"/>
        <v>0.9847309840889743</v>
      </c>
      <c r="M35" s="18">
        <f t="shared" si="12"/>
        <v>0.9847309840889743</v>
      </c>
      <c r="N35" s="18">
        <f t="shared" si="12"/>
        <v>0.9847309840889743</v>
      </c>
      <c r="O35" s="18">
        <f t="shared" si="12"/>
        <v>0.9847309840889743</v>
      </c>
      <c r="P35" s="18">
        <f t="shared" si="12"/>
        <v>0.9847309840889743</v>
      </c>
      <c r="Q35" s="18">
        <f t="shared" si="12"/>
        <v>0.9847309840889743</v>
      </c>
      <c r="R35" s="18">
        <f t="shared" si="12"/>
        <v>0.9847309840889743</v>
      </c>
      <c r="S35" s="18">
        <f t="shared" si="12"/>
        <v>0.9847309840889743</v>
      </c>
    </row>
    <row r="36" spans="2:19" x14ac:dyDescent="0.2">
      <c r="B36" t="s">
        <v>271</v>
      </c>
      <c r="E36" s="23">
        <f>Hist!E100</f>
        <v>102.962</v>
      </c>
      <c r="F36" s="23">
        <f>Hist!F100</f>
        <v>115.55800000000001</v>
      </c>
      <c r="G36" s="23">
        <f>Hist!G100</f>
        <v>119.577</v>
      </c>
      <c r="H36" s="23">
        <f>Hist!H100</f>
        <v>127</v>
      </c>
      <c r="I36" s="23">
        <f>Hist!I100</f>
        <v>128.93799999999999</v>
      </c>
      <c r="J36" s="29">
        <f t="shared" ref="J36:S36" si="13">J17*J35/J34</f>
        <v>129.58530440603013</v>
      </c>
      <c r="K36" s="29">
        <f t="shared" si="13"/>
        <v>132.43762316141274</v>
      </c>
      <c r="L36" s="29">
        <f t="shared" si="13"/>
        <v>135.98048665144393</v>
      </c>
      <c r="M36" s="29">
        <f t="shared" si="13"/>
        <v>139.30762434707898</v>
      </c>
      <c r="N36" s="29">
        <f t="shared" si="13"/>
        <v>142.22730675525239</v>
      </c>
      <c r="O36" s="29">
        <f t="shared" si="13"/>
        <v>144.89504124075714</v>
      </c>
      <c r="P36" s="29">
        <f t="shared" si="13"/>
        <v>147.27693130239143</v>
      </c>
      <c r="Q36" s="29">
        <f t="shared" si="13"/>
        <v>149.34211231994837</v>
      </c>
      <c r="R36" s="29">
        <f t="shared" si="13"/>
        <v>151.0636310458265</v>
      </c>
      <c r="S36" s="29">
        <f t="shared" si="13"/>
        <v>152.41924738328885</v>
      </c>
    </row>
    <row r="37" spans="2:19" x14ac:dyDescent="0.2">
      <c r="B37" s="17" t="s">
        <v>272</v>
      </c>
      <c r="F37" s="18">
        <f>IFERROR(F36/E36-1,"n.m.")</f>
        <v>0.1223363959519046</v>
      </c>
      <c r="G37" s="18">
        <f>IFERROR(G36/F36-1,"n.m.")</f>
        <v>3.4779071981169585E-2</v>
      </c>
      <c r="H37" s="18">
        <f>IFERROR(H36/G36-1,"n.m.")</f>
        <v>6.2077155305786169E-2</v>
      </c>
      <c r="I37" s="18">
        <f>IFERROR(I36/H36-1,"n.m.")</f>
        <v>1.5259842519685041E-2</v>
      </c>
      <c r="J37" s="18">
        <f t="shared" ref="J37:S37" si="14">J36/I36-1</f>
        <v>5.0202764586866344E-3</v>
      </c>
      <c r="K37" s="18">
        <f t="shared" si="14"/>
        <v>2.2011128256066881E-2</v>
      </c>
      <c r="L37" s="18">
        <f t="shared" si="14"/>
        <v>2.6751185995789184E-2</v>
      </c>
      <c r="M37" s="18">
        <f t="shared" si="14"/>
        <v>2.4467758408332818E-2</v>
      </c>
      <c r="N37" s="18">
        <f t="shared" si="14"/>
        <v>2.0958525578608223E-2</v>
      </c>
      <c r="O37" s="18">
        <f t="shared" si="14"/>
        <v>1.8756837532580395E-2</v>
      </c>
      <c r="P37" s="18">
        <f t="shared" si="14"/>
        <v>1.6438727241718132E-2</v>
      </c>
      <c r="Q37" s="18">
        <f t="shared" si="14"/>
        <v>1.4022433787112654E-2</v>
      </c>
      <c r="R37" s="18">
        <f t="shared" si="14"/>
        <v>1.1527349514047103E-2</v>
      </c>
      <c r="S37" s="18">
        <f t="shared" si="14"/>
        <v>8.9738100962972744E-3</v>
      </c>
    </row>
    <row r="38" spans="2:19" x14ac:dyDescent="0.2">
      <c r="B38" t="s">
        <v>273</v>
      </c>
      <c r="F38" s="20">
        <f>Hist!F103</f>
        <v>29.35</v>
      </c>
      <c r="G38" s="20">
        <f>Hist!G103</f>
        <v>28.8</v>
      </c>
      <c r="H38" s="20">
        <f>Hist!H103</f>
        <v>30.54</v>
      </c>
      <c r="I38" s="20">
        <f>Hist!I103</f>
        <v>31.67</v>
      </c>
      <c r="J38" s="27">
        <f>I38*(1+Inputs!J108)</f>
        <v>31.986700000000003</v>
      </c>
      <c r="K38" s="27">
        <f>J38*(1+Inputs!K108)</f>
        <v>32.306567000000001</v>
      </c>
      <c r="L38" s="27">
        <f>K38*(1+Inputs!L108)</f>
        <v>32.629632669999999</v>
      </c>
      <c r="M38" s="27">
        <f>L38*(1+Inputs!M108)</f>
        <v>32.955928996700003</v>
      </c>
      <c r="N38" s="27">
        <f>M38*(1+Inputs!N108)</f>
        <v>33.285488286667004</v>
      </c>
      <c r="O38" s="27">
        <f>N38*(1+Inputs!O108)</f>
        <v>33.618343169533674</v>
      </c>
      <c r="P38" s="27">
        <f>O38*(1+Inputs!P108)</f>
        <v>33.954526601229013</v>
      </c>
      <c r="Q38" s="27">
        <f>P38*(1+Inputs!Q108)</f>
        <v>34.2940718672413</v>
      </c>
      <c r="R38" s="27">
        <f>Q38*(1+Inputs!R108)</f>
        <v>34.637012585913716</v>
      </c>
      <c r="S38" s="27">
        <f>R38*(1+Inputs!S108)</f>
        <v>34.983382711772855</v>
      </c>
    </row>
    <row r="39" spans="2:19" x14ac:dyDescent="0.2">
      <c r="B39" s="17" t="s">
        <v>274</v>
      </c>
      <c r="F39" s="18">
        <f>Hist!F102*Hist!F103/F24</f>
        <v>0.99985784609202333</v>
      </c>
      <c r="G39" s="18">
        <f>Hist!G102*Hist!G103/G24</f>
        <v>1.000120287383623</v>
      </c>
      <c r="H39" s="18">
        <f>Hist!H102*Hist!H103/H24</f>
        <v>0.99867983755206946</v>
      </c>
      <c r="I39" s="18">
        <f>Hist!I102*Hist!I103/I24</f>
        <v>0.99492640311118596</v>
      </c>
      <c r="J39" s="18">
        <f t="shared" ref="J39:S39" si="15">$I$39</f>
        <v>0.99492640311118596</v>
      </c>
      <c r="K39" s="18">
        <f t="shared" si="15"/>
        <v>0.99492640311118596</v>
      </c>
      <c r="L39" s="18">
        <f t="shared" si="15"/>
        <v>0.99492640311118596</v>
      </c>
      <c r="M39" s="18">
        <f t="shared" si="15"/>
        <v>0.99492640311118596</v>
      </c>
      <c r="N39" s="18">
        <f t="shared" si="15"/>
        <v>0.99492640311118596</v>
      </c>
      <c r="O39" s="18">
        <f t="shared" si="15"/>
        <v>0.99492640311118596</v>
      </c>
      <c r="P39" s="18">
        <f t="shared" si="15"/>
        <v>0.99492640311118596</v>
      </c>
      <c r="Q39" s="18">
        <f t="shared" si="15"/>
        <v>0.99492640311118596</v>
      </c>
      <c r="R39" s="18">
        <f t="shared" si="15"/>
        <v>0.99492640311118596</v>
      </c>
      <c r="S39" s="18">
        <f t="shared" si="15"/>
        <v>0.99492640311118596</v>
      </c>
    </row>
    <row r="40" spans="2:19" x14ac:dyDescent="0.2">
      <c r="B40" t="s">
        <v>275</v>
      </c>
      <c r="F40" s="23">
        <f>Hist!F102</f>
        <v>30.518999999999998</v>
      </c>
      <c r="G40" s="23">
        <f>Hist!G102</f>
        <v>32.969000000000001</v>
      </c>
      <c r="H40" s="23">
        <f>Hist!H102</f>
        <v>26.95</v>
      </c>
      <c r="I40" s="23">
        <f>Hist!I102</f>
        <v>22.457000000000001</v>
      </c>
      <c r="J40" s="29">
        <f t="shared" ref="J40:S40" si="16">J24*J39/J38</f>
        <v>21.607354369751651</v>
      </c>
      <c r="K40" s="29">
        <f t="shared" si="16"/>
        <v>21.368760648104487</v>
      </c>
      <c r="L40" s="29">
        <f t="shared" si="16"/>
        <v>21.382215043567975</v>
      </c>
      <c r="M40" s="29">
        <f t="shared" si="16"/>
        <v>21.637177934187331</v>
      </c>
      <c r="N40" s="29">
        <f t="shared" si="16"/>
        <v>21.966880564889475</v>
      </c>
      <c r="O40" s="29">
        <f t="shared" si="16"/>
        <v>22.30020365526482</v>
      </c>
      <c r="P40" s="29">
        <f t="shared" si="16"/>
        <v>22.636967450821192</v>
      </c>
      <c r="Q40" s="29">
        <f t="shared" si="16"/>
        <v>22.97702558929392</v>
      </c>
      <c r="R40" s="29">
        <f t="shared" si="16"/>
        <v>23.320253427217004</v>
      </c>
      <c r="S40" s="29">
        <f t="shared" si="16"/>
        <v>23.666593824650917</v>
      </c>
    </row>
    <row r="41" spans="2:19" x14ac:dyDescent="0.2">
      <c r="B41" s="17" t="s">
        <v>272</v>
      </c>
      <c r="G41" s="18">
        <f>IFERROR(G40/F40-1,"n.m.")</f>
        <v>8.0277859693961284E-2</v>
      </c>
      <c r="H41" s="18">
        <f>IFERROR(H40/G40-1,"n.m.")</f>
        <v>-0.18256544026206445</v>
      </c>
      <c r="I41" s="18">
        <f>IFERROR(I40/H40-1,"n.m.")</f>
        <v>-0.16671614100185528</v>
      </c>
      <c r="J41" s="18">
        <f t="shared" ref="J41:S41" si="17">J40/I40-1</f>
        <v>-3.7834333626412753E-2</v>
      </c>
      <c r="K41" s="18">
        <f t="shared" si="17"/>
        <v>-1.1042245967010755E-2</v>
      </c>
      <c r="L41" s="18">
        <f t="shared" si="17"/>
        <v>6.2962919024878161E-4</v>
      </c>
      <c r="M41" s="18">
        <f t="shared" si="17"/>
        <v>1.1924063531296936E-2</v>
      </c>
      <c r="N41" s="18">
        <f t="shared" si="17"/>
        <v>1.5237783397861859E-2</v>
      </c>
      <c r="O41" s="18">
        <f t="shared" si="17"/>
        <v>1.5173892778754805E-2</v>
      </c>
      <c r="P41" s="18">
        <f t="shared" si="17"/>
        <v>1.5101377582122044E-2</v>
      </c>
      <c r="Q41" s="18">
        <f t="shared" si="17"/>
        <v>1.502224797608176E-2</v>
      </c>
      <c r="R41" s="18">
        <f t="shared" si="17"/>
        <v>1.4937870726096536E-2</v>
      </c>
      <c r="S41" s="18">
        <f t="shared" si="17"/>
        <v>1.4851485148514643E-2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S47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276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277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s="1" t="s">
        <v>21</v>
      </c>
      <c r="E7" s="42">
        <f>Rev_Build!E27</f>
        <v>2313.4160000000002</v>
      </c>
      <c r="F7" s="42">
        <f>Rev_Build!F27</f>
        <v>3554.9850000000001</v>
      </c>
      <c r="G7" s="42">
        <f>Rev_Build!G27</f>
        <v>3962.3469999999998</v>
      </c>
      <c r="H7" s="42">
        <f>Rev_Build!H27</f>
        <v>4102.1080000000002</v>
      </c>
      <c r="I7" s="42">
        <f>Rev_Build!I27</f>
        <v>4040.6469999999999</v>
      </c>
      <c r="J7" s="42">
        <f>Rev_Build!J27</f>
        <v>4104.0259900000001</v>
      </c>
      <c r="K7" s="42">
        <f>Rev_Build!K27</f>
        <v>4247.9569262000005</v>
      </c>
      <c r="L7" s="42">
        <f>Rev_Build!L27</f>
        <v>4423.3961124059997</v>
      </c>
      <c r="M7" s="42">
        <f>Rev_Build!M27</f>
        <v>4606.19088623072</v>
      </c>
      <c r="N7" s="42">
        <f>Rev_Build!N27</f>
        <v>4785.3260332169966</v>
      </c>
      <c r="O7" s="42">
        <f>Rev_Build!O27</f>
        <v>4962.4389111312412</v>
      </c>
      <c r="P7" s="42">
        <f>Rev_Build!P27</f>
        <v>5136.2185387352838</v>
      </c>
      <c r="Q7" s="42">
        <f>Rev_Build!Q27</f>
        <v>5305.3519661997761</v>
      </c>
      <c r="R7" s="42">
        <f>Rev_Build!R27</f>
        <v>5468.5556722364408</v>
      </c>
      <c r="S7" s="42">
        <f>Rev_Build!S27</f>
        <v>5624.6101420087662</v>
      </c>
    </row>
    <row r="8" spans="2:19" x14ac:dyDescent="0.2">
      <c r="B8" s="17" t="s">
        <v>22</v>
      </c>
      <c r="F8" s="18">
        <f>IFERROR(F7/E7-1,"n.m.")</f>
        <v>0.53668211856406289</v>
      </c>
      <c r="G8" s="18">
        <f>IFERROR(G7/F7-1,"n.m.")</f>
        <v>0.11458895044564166</v>
      </c>
      <c r="H8" s="18">
        <f>IFERROR(H7/G7-1,"n.m.")</f>
        <v>3.5272276759203747E-2</v>
      </c>
      <c r="I8" s="18">
        <f>IFERROR(I7/H7-1,"n.m.")</f>
        <v>-1.4982784461062493E-2</v>
      </c>
      <c r="J8" s="18">
        <f t="shared" ref="J8:S8" si="0">J7/I7-1</f>
        <v>1.5685356825280827E-2</v>
      </c>
      <c r="K8" s="18">
        <f t="shared" si="0"/>
        <v>3.5070668789795034E-2</v>
      </c>
      <c r="L8" s="18">
        <f t="shared" si="0"/>
        <v>4.1299662226786715E-2</v>
      </c>
      <c r="M8" s="18">
        <f t="shared" si="0"/>
        <v>4.1324531916110407E-2</v>
      </c>
      <c r="N8" s="18">
        <f t="shared" si="0"/>
        <v>3.8890083240311402E-2</v>
      </c>
      <c r="O8" s="18">
        <f t="shared" si="0"/>
        <v>3.7011663716291832E-2</v>
      </c>
      <c r="P8" s="18">
        <f t="shared" si="0"/>
        <v>3.501899584380519E-2</v>
      </c>
      <c r="Q8" s="18">
        <f t="shared" si="0"/>
        <v>3.2929562126096545E-2</v>
      </c>
      <c r="R8" s="18">
        <f t="shared" si="0"/>
        <v>3.0762088373482044E-2</v>
      </c>
      <c r="S8" s="18">
        <f t="shared" si="0"/>
        <v>2.8536688501610286E-2</v>
      </c>
    </row>
    <row r="9" spans="2:19" x14ac:dyDescent="0.2">
      <c r="B9" t="s">
        <v>278</v>
      </c>
      <c r="E9" s="16">
        <f>Hist!E8</f>
        <v>893.19600000000003</v>
      </c>
      <c r="F9" s="16">
        <f>Hist!F8</f>
        <v>1694.703</v>
      </c>
      <c r="G9" s="16">
        <f>Hist!G8</f>
        <v>1752.337</v>
      </c>
      <c r="H9" s="16">
        <f>Hist!H8</f>
        <v>1691.85</v>
      </c>
      <c r="I9" s="16">
        <f>Hist!I8</f>
        <v>1683.5920000000001</v>
      </c>
      <c r="J9" s="21">
        <f>Rev_Build!J17*(1-Inputs!J55)+Rev_Build!J24*(1-Inputs!J59)</f>
        <v>1732.5579016000002</v>
      </c>
      <c r="K9" s="21">
        <f>Rev_Build!K17*(1-Inputs!K55)+Rev_Build!K24*(1-Inputs!K59)</f>
        <v>1781.6001113580003</v>
      </c>
      <c r="L9" s="21">
        <f>Rev_Build!L17*(1-Inputs!L55)+Rev_Build!L24*(1-Inputs!L59)</f>
        <v>1844.33727129814</v>
      </c>
      <c r="M9" s="21">
        <f>Rev_Build!M17*(1-Inputs!M55)+Rev_Build!M24*(1-Inputs!M59)</f>
        <v>1918.2550768243068</v>
      </c>
      <c r="N9" s="21">
        <f>Rev_Build!N17*(1-Inputs!N55)+Rev_Build!N24*(1-Inputs!N59)</f>
        <v>1991.2113374195678</v>
      </c>
      <c r="O9" s="21">
        <f>Rev_Build!O17*(1-Inputs!O55)+Rev_Build!O24*(1-Inputs!O59)</f>
        <v>2063.4493969494392</v>
      </c>
      <c r="P9" s="21">
        <f>Rev_Build!P17*(1-Inputs!P55)+Rev_Build!P24*(1-Inputs!P59)</f>
        <v>2134.4582381393243</v>
      </c>
      <c r="Q9" s="21">
        <f>Rev_Build!Q17*(1-Inputs!Q55)+Rev_Build!Q24*(1-Inputs!Q59)</f>
        <v>2203.7262511150529</v>
      </c>
      <c r="R9" s="21">
        <f>Rev_Build!R17*(1-Inputs!R55)+Rev_Build!R24*(1-Inputs!R59)</f>
        <v>2270.7534182518684</v>
      </c>
      <c r="S9" s="21">
        <f>Rev_Build!S17*(1-Inputs!S55)+Rev_Build!S24*(1-Inputs!S59)</f>
        <v>2335.0650791150665</v>
      </c>
    </row>
    <row r="10" spans="2:19" x14ac:dyDescent="0.2">
      <c r="B10" s="1" t="s">
        <v>279</v>
      </c>
      <c r="E10" s="41">
        <f t="shared" ref="E10:S10" si="1">E7-E9</f>
        <v>1420.2200000000003</v>
      </c>
      <c r="F10" s="41">
        <f t="shared" si="1"/>
        <v>1860.2820000000002</v>
      </c>
      <c r="G10" s="41">
        <f t="shared" si="1"/>
        <v>2210.0099999999998</v>
      </c>
      <c r="H10" s="41">
        <f t="shared" si="1"/>
        <v>2410.2580000000003</v>
      </c>
      <c r="I10" s="41">
        <f t="shared" si="1"/>
        <v>2357.0549999999998</v>
      </c>
      <c r="J10" s="41">
        <f t="shared" si="1"/>
        <v>2371.4680883999999</v>
      </c>
      <c r="K10" s="41">
        <f t="shared" si="1"/>
        <v>2466.3568148419999</v>
      </c>
      <c r="L10" s="41">
        <f t="shared" si="1"/>
        <v>2579.0588411078597</v>
      </c>
      <c r="M10" s="41">
        <f t="shared" si="1"/>
        <v>2687.9358094064132</v>
      </c>
      <c r="N10" s="41">
        <f t="shared" si="1"/>
        <v>2794.1146957974288</v>
      </c>
      <c r="O10" s="41">
        <f t="shared" si="1"/>
        <v>2898.989514181802</v>
      </c>
      <c r="P10" s="41">
        <f t="shared" si="1"/>
        <v>3001.7603005959595</v>
      </c>
      <c r="Q10" s="41">
        <f t="shared" si="1"/>
        <v>3101.6257150847232</v>
      </c>
      <c r="R10" s="41">
        <f t="shared" si="1"/>
        <v>3197.8022539845724</v>
      </c>
      <c r="S10" s="41">
        <f t="shared" si="1"/>
        <v>3289.5450628936997</v>
      </c>
    </row>
    <row r="11" spans="2:19" x14ac:dyDescent="0.2">
      <c r="B11" s="17" t="s">
        <v>280</v>
      </c>
      <c r="E11" s="18">
        <f t="shared" ref="E11:S11" si="2">E10/E7</f>
        <v>0.61390601603862005</v>
      </c>
      <c r="F11" s="18">
        <f t="shared" si="2"/>
        <v>0.52328828391680982</v>
      </c>
      <c r="G11" s="18">
        <f t="shared" si="2"/>
        <v>0.55775276622668335</v>
      </c>
      <c r="H11" s="18">
        <f t="shared" si="2"/>
        <v>0.58756571011782244</v>
      </c>
      <c r="I11" s="18">
        <f t="shared" si="2"/>
        <v>0.58333603504587261</v>
      </c>
      <c r="J11" s="18">
        <f t="shared" si="2"/>
        <v>0.57783944209378657</v>
      </c>
      <c r="K11" s="18">
        <f t="shared" si="2"/>
        <v>0.58059835767879908</v>
      </c>
      <c r="L11" s="18">
        <f t="shared" si="2"/>
        <v>0.58304948857610739</v>
      </c>
      <c r="M11" s="18">
        <f t="shared" si="2"/>
        <v>0.58354850586879847</v>
      </c>
      <c r="N11" s="18">
        <f t="shared" si="2"/>
        <v>0.5838922314597339</v>
      </c>
      <c r="O11" s="18">
        <f t="shared" si="2"/>
        <v>0.58418643858347186</v>
      </c>
      <c r="P11" s="18">
        <f t="shared" si="2"/>
        <v>0.58443001947014073</v>
      </c>
      <c r="Q11" s="18">
        <f t="shared" si="2"/>
        <v>0.58462204484171443</v>
      </c>
      <c r="R11" s="18">
        <f t="shared" si="2"/>
        <v>0.58476176263865065</v>
      </c>
      <c r="S11" s="18">
        <f t="shared" si="2"/>
        <v>0.58484854591519753</v>
      </c>
    </row>
    <row r="12" spans="2:19" x14ac:dyDescent="0.2">
      <c r="B12" t="s">
        <v>281</v>
      </c>
      <c r="E12" s="16">
        <f>Hist!E10</f>
        <v>737.15599999999995</v>
      </c>
      <c r="F12" s="16">
        <f>Hist!F10</f>
        <v>1009.526</v>
      </c>
      <c r="G12" s="16">
        <f>Hist!G10</f>
        <v>1163.94</v>
      </c>
      <c r="H12" s="16">
        <f>Hist!H10</f>
        <v>1364.2650000000001</v>
      </c>
      <c r="I12" s="16">
        <f>Hist!I10</f>
        <v>1469.425</v>
      </c>
      <c r="J12" s="21">
        <f t="shared" ref="J12:S12" si="3">J27+J28+J29+J30</f>
        <v>1478.7201072400001</v>
      </c>
      <c r="K12" s="21">
        <f t="shared" si="3"/>
        <v>1512.7879468898002</v>
      </c>
      <c r="L12" s="21">
        <f t="shared" si="3"/>
        <v>1566.0162082683289</v>
      </c>
      <c r="M12" s="21">
        <f t="shared" si="3"/>
        <v>1621.6434482638133</v>
      </c>
      <c r="N12" s="21">
        <f t="shared" si="3"/>
        <v>1679.222968961484</v>
      </c>
      <c r="O12" s="21">
        <f t="shared" si="3"/>
        <v>1740.9873382078028</v>
      </c>
      <c r="P12" s="21">
        <f t="shared" si="3"/>
        <v>1801.6237970982636</v>
      </c>
      <c r="Q12" s="21">
        <f t="shared" si="3"/>
        <v>1860.6808075102012</v>
      </c>
      <c r="R12" s="21">
        <f t="shared" si="3"/>
        <v>1917.7169852115978</v>
      </c>
      <c r="S12" s="21">
        <f t="shared" si="3"/>
        <v>1972.313068662334</v>
      </c>
    </row>
    <row r="13" spans="2:19" x14ac:dyDescent="0.2">
      <c r="B13" s="17" t="s">
        <v>282</v>
      </c>
      <c r="E13" s="18">
        <f t="shared" ref="E13:S13" si="4">E12/E7</f>
        <v>0.31864394471206214</v>
      </c>
      <c r="F13" s="18">
        <f t="shared" si="4"/>
        <v>0.283974756574219</v>
      </c>
      <c r="G13" s="18">
        <f t="shared" si="4"/>
        <v>0.29375014353866535</v>
      </c>
      <c r="H13" s="18">
        <f t="shared" si="4"/>
        <v>0.33257656794994184</v>
      </c>
      <c r="I13" s="18">
        <f t="shared" si="4"/>
        <v>0.36366081966576147</v>
      </c>
      <c r="J13" s="18">
        <f t="shared" si="4"/>
        <v>0.36030963518337761</v>
      </c>
      <c r="K13" s="18">
        <f t="shared" si="4"/>
        <v>0.35612130093867522</v>
      </c>
      <c r="L13" s="18">
        <f t="shared" si="4"/>
        <v>0.3540302899566759</v>
      </c>
      <c r="M13" s="18">
        <f t="shared" si="4"/>
        <v>0.35205736981317681</v>
      </c>
      <c r="N13" s="18">
        <f t="shared" si="4"/>
        <v>0.35091087990771758</v>
      </c>
      <c r="O13" s="18">
        <f t="shared" si="4"/>
        <v>0.35083300155143393</v>
      </c>
      <c r="P13" s="18">
        <f t="shared" si="4"/>
        <v>0.350768524257904</v>
      </c>
      <c r="Q13" s="18">
        <f t="shared" si="4"/>
        <v>0.35071769401248737</v>
      </c>
      <c r="R13" s="18">
        <f t="shared" si="4"/>
        <v>0.35068070988976896</v>
      </c>
      <c r="S13" s="18">
        <f t="shared" si="4"/>
        <v>0.35065773784597709</v>
      </c>
    </row>
    <row r="14" spans="2:19" x14ac:dyDescent="0.2">
      <c r="B14" t="s">
        <v>283</v>
      </c>
      <c r="E14" s="16">
        <f>Hist!E11</f>
        <v>0</v>
      </c>
      <c r="F14" s="16">
        <f>Hist!F11</f>
        <v>0</v>
      </c>
      <c r="G14" s="16">
        <f>Hist!G11</f>
        <v>9.2870000000000008</v>
      </c>
      <c r="H14" s="16">
        <f>Hist!H11</f>
        <v>24.081</v>
      </c>
      <c r="I14" s="16">
        <f>Hist!I11</f>
        <v>738.11500000000001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</row>
    <row r="15" spans="2:19" x14ac:dyDescent="0.2">
      <c r="B15" s="1" t="s">
        <v>284</v>
      </c>
      <c r="E15" s="42">
        <f t="shared" ref="E15:S15" si="5">E10-E12-E14</f>
        <v>683.06400000000031</v>
      </c>
      <c r="F15" s="42">
        <f t="shared" si="5"/>
        <v>850.7560000000002</v>
      </c>
      <c r="G15" s="42">
        <f t="shared" si="5"/>
        <v>1036.7829999999997</v>
      </c>
      <c r="H15" s="42">
        <f t="shared" si="5"/>
        <v>1021.9120000000001</v>
      </c>
      <c r="I15" s="42">
        <f t="shared" si="5"/>
        <v>149.51499999999987</v>
      </c>
      <c r="J15" s="42">
        <f t="shared" si="5"/>
        <v>892.74798115999988</v>
      </c>
      <c r="K15" s="42">
        <f t="shared" si="5"/>
        <v>953.56886795219975</v>
      </c>
      <c r="L15" s="42">
        <f t="shared" si="5"/>
        <v>1013.0426328395308</v>
      </c>
      <c r="M15" s="42">
        <f t="shared" si="5"/>
        <v>1066.2923611425999</v>
      </c>
      <c r="N15" s="42">
        <f t="shared" si="5"/>
        <v>1114.8917268359448</v>
      </c>
      <c r="O15" s="42">
        <f t="shared" si="5"/>
        <v>1158.0021759739991</v>
      </c>
      <c r="P15" s="42">
        <f t="shared" si="5"/>
        <v>1200.1365034976959</v>
      </c>
      <c r="Q15" s="42">
        <f t="shared" si="5"/>
        <v>1240.9449075745219</v>
      </c>
      <c r="R15" s="42">
        <f t="shared" si="5"/>
        <v>1280.0852687729746</v>
      </c>
      <c r="S15" s="42">
        <f t="shared" si="5"/>
        <v>1317.2319942313657</v>
      </c>
    </row>
    <row r="16" spans="2:19" x14ac:dyDescent="0.2">
      <c r="B16" s="17" t="s">
        <v>285</v>
      </c>
      <c r="E16" s="18">
        <f t="shared" ref="E16:S16" si="6">E15/E7</f>
        <v>0.29526207132655791</v>
      </c>
      <c r="F16" s="18">
        <f t="shared" si="6"/>
        <v>0.23931352734259081</v>
      </c>
      <c r="G16" s="18">
        <f t="shared" si="6"/>
        <v>0.2616588097912676</v>
      </c>
      <c r="H16" s="18">
        <f t="shared" si="6"/>
        <v>0.24911874577656173</v>
      </c>
      <c r="I16" s="18">
        <f t="shared" si="6"/>
        <v>3.7002737432891286E-2</v>
      </c>
      <c r="J16" s="18">
        <f t="shared" si="6"/>
        <v>0.21752980691040893</v>
      </c>
      <c r="K16" s="18">
        <f t="shared" si="6"/>
        <v>0.22447705674012389</v>
      </c>
      <c r="L16" s="18">
        <f t="shared" si="6"/>
        <v>0.22901919861943151</v>
      </c>
      <c r="M16" s="18">
        <f t="shared" si="6"/>
        <v>0.23149113605562163</v>
      </c>
      <c r="N16" s="18">
        <f t="shared" si="6"/>
        <v>0.23298135155201632</v>
      </c>
      <c r="O16" s="18">
        <f t="shared" si="6"/>
        <v>0.23335343703203795</v>
      </c>
      <c r="P16" s="18">
        <f t="shared" si="6"/>
        <v>0.2336614952122367</v>
      </c>
      <c r="Q16" s="18">
        <f t="shared" si="6"/>
        <v>0.23390435082922706</v>
      </c>
      <c r="R16" s="18">
        <f t="shared" si="6"/>
        <v>0.23408105274888172</v>
      </c>
      <c r="S16" s="18">
        <f t="shared" si="6"/>
        <v>0.23419080806922044</v>
      </c>
    </row>
    <row r="17" spans="2:19" x14ac:dyDescent="0.2">
      <c r="B17" t="s">
        <v>286</v>
      </c>
      <c r="E17" s="16">
        <f>Hist!E13</f>
        <v>0.77500000000000002</v>
      </c>
      <c r="F17" s="16">
        <f>Hist!F13</f>
        <v>1.02</v>
      </c>
      <c r="G17" s="16">
        <f>Hist!G13</f>
        <v>2.4060000000000001</v>
      </c>
      <c r="H17" s="16">
        <f>Hist!H13</f>
        <v>3.484</v>
      </c>
      <c r="I17" s="16">
        <f>Hist!I13</f>
        <v>1.8440000000000001</v>
      </c>
      <c r="J17" s="16">
        <f ca="1">Debt!J52</f>
        <v>4.2053099999999928</v>
      </c>
      <c r="K17" s="16">
        <f ca="1">Debt!K52</f>
        <v>4.5000000000000062</v>
      </c>
      <c r="L17" s="16">
        <f ca="1">Debt!L52</f>
        <v>4.4999999999999849</v>
      </c>
      <c r="M17" s="16">
        <f ca="1">Debt!M52</f>
        <v>5.5321816106367887</v>
      </c>
      <c r="N17" s="16">
        <f ca="1">Debt!N52</f>
        <v>5.5321816106368162</v>
      </c>
      <c r="O17" s="16">
        <f ca="1">Debt!O52</f>
        <v>4.4999999999999991</v>
      </c>
      <c r="P17" s="16">
        <f ca="1">Debt!P52</f>
        <v>4.5000000000000009</v>
      </c>
      <c r="Q17" s="16">
        <f ca="1">Debt!Q52</f>
        <v>4.5000000000000027</v>
      </c>
      <c r="R17" s="16">
        <f ca="1">Debt!R52</f>
        <v>4.5000000000003366</v>
      </c>
      <c r="S17" s="16">
        <f ca="1">Debt!S52</f>
        <v>4.5000000010185213</v>
      </c>
    </row>
    <row r="18" spans="2:19" x14ac:dyDescent="0.2">
      <c r="B18" t="s">
        <v>287</v>
      </c>
      <c r="E18" s="16">
        <f>Hist!E14</f>
        <v>21.646999999999998</v>
      </c>
      <c r="F18" s="16">
        <f>Hist!F14</f>
        <v>136.15799999999999</v>
      </c>
      <c r="G18" s="16">
        <f>Hist!G14</f>
        <v>161.351</v>
      </c>
      <c r="H18" s="16">
        <f>Hist!H14</f>
        <v>109.264</v>
      </c>
      <c r="I18" s="16">
        <f>Hist!I14</f>
        <v>88.287000000000006</v>
      </c>
      <c r="J18" s="16">
        <f ca="1">Debt!J51</f>
        <v>69.961563656903991</v>
      </c>
      <c r="K18" s="16">
        <f ca="1">Debt!K51</f>
        <v>60.851325493486655</v>
      </c>
      <c r="L18" s="16">
        <f ca="1">Debt!L51</f>
        <v>50.973028264922419</v>
      </c>
      <c r="M18" s="16">
        <f ca="1">Debt!M51</f>
        <v>41.060461869691522</v>
      </c>
      <c r="N18" s="16">
        <f ca="1">Debt!N51</f>
        <v>36.5625</v>
      </c>
      <c r="O18" s="16">
        <f ca="1">Debt!O51</f>
        <v>39.40625</v>
      </c>
      <c r="P18" s="16">
        <f ca="1">Debt!P51</f>
        <v>42.25</v>
      </c>
      <c r="Q18" s="16">
        <f ca="1">Debt!Q51</f>
        <v>42.25</v>
      </c>
      <c r="R18" s="16">
        <f ca="1">Debt!R51</f>
        <v>42.25</v>
      </c>
      <c r="S18" s="16">
        <f ca="1">Debt!S51</f>
        <v>42.25</v>
      </c>
    </row>
    <row r="19" spans="2:19" x14ac:dyDescent="0.2">
      <c r="B19" t="s">
        <v>288</v>
      </c>
      <c r="E19" s="16">
        <f>Hist!E15</f>
        <v>1.657</v>
      </c>
      <c r="F19" s="16">
        <f>Hist!F15</f>
        <v>2.89</v>
      </c>
      <c r="G19" s="16">
        <f>Hist!G15</f>
        <v>-1.5660000000000001</v>
      </c>
      <c r="H19" s="16">
        <f>Hist!H15</f>
        <v>-5.5460000000000003</v>
      </c>
      <c r="I19" s="16">
        <f>Hist!I15</f>
        <v>9.9060000000000006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</row>
    <row r="20" spans="2:19" x14ac:dyDescent="0.2">
      <c r="B20" s="1" t="s">
        <v>289</v>
      </c>
      <c r="E20" s="41">
        <f t="shared" ref="E20:S20" si="7">E15+E17-E18+E19</f>
        <v>663.84900000000027</v>
      </c>
      <c r="F20" s="41">
        <f t="shared" si="7"/>
        <v>718.50800000000015</v>
      </c>
      <c r="G20" s="41">
        <f t="shared" si="7"/>
        <v>876.27199999999959</v>
      </c>
      <c r="H20" s="41">
        <f t="shared" si="7"/>
        <v>910.58600000000013</v>
      </c>
      <c r="I20" s="41">
        <f t="shared" si="7"/>
        <v>72.977999999999867</v>
      </c>
      <c r="J20" s="41">
        <f t="shared" ca="1" si="7"/>
        <v>826.99172750309583</v>
      </c>
      <c r="K20" s="41">
        <f t="shared" ca="1" si="7"/>
        <v>897.21754245871307</v>
      </c>
      <c r="L20" s="41">
        <f t="shared" ca="1" si="7"/>
        <v>966.56960457460843</v>
      </c>
      <c r="M20" s="41">
        <f t="shared" ca="1" si="7"/>
        <v>1030.7640808835451</v>
      </c>
      <c r="N20" s="41">
        <f t="shared" ca="1" si="7"/>
        <v>1083.8614084465817</v>
      </c>
      <c r="O20" s="41">
        <f t="shared" ca="1" si="7"/>
        <v>1123.0959259739991</v>
      </c>
      <c r="P20" s="41">
        <f t="shared" ca="1" si="7"/>
        <v>1162.3865034976959</v>
      </c>
      <c r="Q20" s="41">
        <f t="shared" ca="1" si="7"/>
        <v>1203.1949075745219</v>
      </c>
      <c r="R20" s="41">
        <f t="shared" ca="1" si="7"/>
        <v>1242.3352687729748</v>
      </c>
      <c r="S20" s="41">
        <f t="shared" ca="1" si="7"/>
        <v>1279.4819942323843</v>
      </c>
    </row>
    <row r="21" spans="2:19" x14ac:dyDescent="0.2">
      <c r="B21" t="s">
        <v>290</v>
      </c>
      <c r="E21" s="16">
        <f>Hist!E17</f>
        <v>-61.844999999999999</v>
      </c>
      <c r="F21" s="16">
        <f>Hist!F17</f>
        <v>178.34899999999999</v>
      </c>
      <c r="G21" s="16">
        <f>Hist!G17</f>
        <v>83.706000000000003</v>
      </c>
      <c r="H21" s="16">
        <f>Hist!H17</f>
        <v>-39.485999999999997</v>
      </c>
      <c r="I21" s="16">
        <f>Hist!I17</f>
        <v>154.17599999999999</v>
      </c>
      <c r="J21" s="16">
        <f ca="1">Tax!J8</f>
        <v>190.20809732571209</v>
      </c>
      <c r="K21" s="16">
        <f ca="1">Tax!K8</f>
        <v>197.38785934091689</v>
      </c>
      <c r="L21" s="16">
        <f ca="1">Tax!L8</f>
        <v>212.64531300641383</v>
      </c>
      <c r="M21" s="16">
        <f ca="1">Tax!M8</f>
        <v>226.76809779438</v>
      </c>
      <c r="N21" s="16">
        <f ca="1">Tax!N8</f>
        <v>238.44950985824798</v>
      </c>
      <c r="O21" s="16">
        <f ca="1">Tax!O8</f>
        <v>247.08110371427981</v>
      </c>
      <c r="P21" s="16">
        <f ca="1">Tax!P8</f>
        <v>255.72503076949309</v>
      </c>
      <c r="Q21" s="16">
        <f ca="1">Tax!Q8</f>
        <v>264.70287966639484</v>
      </c>
      <c r="R21" s="16">
        <f ca="1">Tax!R8</f>
        <v>273.31375913005394</v>
      </c>
      <c r="S21" s="16">
        <f ca="1">Tax!S8</f>
        <v>281.48603872937463</v>
      </c>
    </row>
    <row r="22" spans="2:19" x14ac:dyDescent="0.2">
      <c r="B22" s="17" t="s">
        <v>291</v>
      </c>
      <c r="E22" s="18">
        <f>IFERROR(E21/E20,"n.m.")</f>
        <v>-9.3161246006245355E-2</v>
      </c>
      <c r="F22" s="18">
        <f>IFERROR(F21/F20,"n.m.")</f>
        <v>0.24822131416769186</v>
      </c>
      <c r="G22" s="18">
        <f>IFERROR(G21/G20,"n.m.")</f>
        <v>9.5525133748425195E-2</v>
      </c>
      <c r="H22" s="18">
        <f>IFERROR(H21/H20,"n.m.")</f>
        <v>-4.3363284741913442E-2</v>
      </c>
      <c r="I22" s="18">
        <f>IFERROR(I21/I20,"n.m.")</f>
        <v>2.1126366850283684</v>
      </c>
      <c r="J22" s="18">
        <f t="shared" ref="J22:S22" ca="1" si="8">J21/J20</f>
        <v>0.23000000000000007</v>
      </c>
      <c r="K22" s="18">
        <f t="shared" ca="1" si="8"/>
        <v>0.22000000000000003</v>
      </c>
      <c r="L22" s="18">
        <f t="shared" ca="1" si="8"/>
        <v>0.21999999999999997</v>
      </c>
      <c r="M22" s="18">
        <f t="shared" ca="1" si="8"/>
        <v>0.22000000000000006</v>
      </c>
      <c r="N22" s="18">
        <f t="shared" ca="1" si="8"/>
        <v>0.22</v>
      </c>
      <c r="O22" s="18">
        <f t="shared" ca="1" si="8"/>
        <v>0.22</v>
      </c>
      <c r="P22" s="18">
        <f t="shared" ca="1" si="8"/>
        <v>0.22</v>
      </c>
      <c r="Q22" s="18">
        <f t="shared" ca="1" si="8"/>
        <v>0.22</v>
      </c>
      <c r="R22" s="18">
        <f t="shared" ca="1" si="8"/>
        <v>0.21999999999999958</v>
      </c>
      <c r="S22" s="18">
        <f t="shared" ca="1" si="8"/>
        <v>0.21999999999863232</v>
      </c>
    </row>
    <row r="23" spans="2:19" x14ac:dyDescent="0.2">
      <c r="B23" s="1" t="s">
        <v>292</v>
      </c>
      <c r="E23" s="42">
        <f t="shared" ref="E23:S23" si="9">E20-E21</f>
        <v>725.6940000000003</v>
      </c>
      <c r="F23" s="42">
        <f t="shared" si="9"/>
        <v>540.15900000000011</v>
      </c>
      <c r="G23" s="42">
        <f t="shared" si="9"/>
        <v>792.56599999999958</v>
      </c>
      <c r="H23" s="42">
        <f t="shared" si="9"/>
        <v>950.07200000000012</v>
      </c>
      <c r="I23" s="42">
        <f t="shared" si="9"/>
        <v>-81.198000000000121</v>
      </c>
      <c r="J23" s="42">
        <f t="shared" ca="1" si="9"/>
        <v>636.78363017738377</v>
      </c>
      <c r="K23" s="42">
        <f t="shared" ca="1" si="9"/>
        <v>699.82968311779621</v>
      </c>
      <c r="L23" s="42">
        <f t="shared" ca="1" si="9"/>
        <v>753.92429156819458</v>
      </c>
      <c r="M23" s="42">
        <f t="shared" ca="1" si="9"/>
        <v>803.99598308916518</v>
      </c>
      <c r="N23" s="42">
        <f t="shared" ca="1" si="9"/>
        <v>845.41189858833366</v>
      </c>
      <c r="O23" s="42">
        <f t="shared" ca="1" si="9"/>
        <v>876.01482225971927</v>
      </c>
      <c r="P23" s="42">
        <f t="shared" ca="1" si="9"/>
        <v>906.66147272820285</v>
      </c>
      <c r="Q23" s="42">
        <f t="shared" ca="1" si="9"/>
        <v>938.49202790812706</v>
      </c>
      <c r="R23" s="42">
        <f t="shared" ca="1" si="9"/>
        <v>969.02150964292082</v>
      </c>
      <c r="S23" s="42">
        <f t="shared" ca="1" si="9"/>
        <v>997.99595550300967</v>
      </c>
    </row>
    <row r="24" spans="2:19" x14ac:dyDescent="0.2">
      <c r="B24" t="s">
        <v>293</v>
      </c>
      <c r="E24" s="23">
        <f>Hist!E19</f>
        <v>63.718000000000004</v>
      </c>
      <c r="F24" s="23">
        <f>Hist!F19</f>
        <v>62.006</v>
      </c>
      <c r="G24" s="23">
        <f>Hist!G19</f>
        <v>61.951999999999998</v>
      </c>
      <c r="H24" s="23">
        <f>Hist!H19</f>
        <v>59.832000000000001</v>
      </c>
      <c r="I24" s="23">
        <f>Hist!I19</f>
        <v>54.207999999999998</v>
      </c>
      <c r="J24" s="23">
        <f ca="1">Equity!J20</f>
        <v>48.344673334966537</v>
      </c>
      <c r="K24" s="23">
        <f ca="1">Equity!K20</f>
        <v>43.966801263947538</v>
      </c>
      <c r="L24" s="23">
        <f ca="1">Equity!L20</f>
        <v>39.938890470788813</v>
      </c>
      <c r="M24" s="23">
        <f ca="1">Equity!M20</f>
        <v>36.359365801609577</v>
      </c>
      <c r="N24" s="23">
        <f ca="1">Equity!N20</f>
        <v>32.642194708805739</v>
      </c>
      <c r="O24" s="23">
        <f ca="1">Equity!O20</f>
        <v>28.951514591565584</v>
      </c>
      <c r="P24" s="23">
        <f ca="1">Equity!P20</f>
        <v>25.866867941036737</v>
      </c>
      <c r="Q24" s="23">
        <f ca="1">Equity!Q20</f>
        <v>23.166981660227151</v>
      </c>
      <c r="R24" s="23">
        <f ca="1">Equity!R20</f>
        <v>20.796767703608655</v>
      </c>
      <c r="S24" s="23">
        <f ca="1">Equity!S20</f>
        <v>18.718461423372649</v>
      </c>
    </row>
    <row r="25" spans="2:19" x14ac:dyDescent="0.2">
      <c r="B25" s="1" t="s">
        <v>294</v>
      </c>
      <c r="E25" s="43">
        <f t="shared" ref="E25:S25" si="10">E23/E24</f>
        <v>11.38915220188958</v>
      </c>
      <c r="F25" s="43">
        <f t="shared" si="10"/>
        <v>8.711398896880949</v>
      </c>
      <c r="G25" s="43">
        <f t="shared" si="10"/>
        <v>12.793227014462804</v>
      </c>
      <c r="H25" s="43">
        <f t="shared" si="10"/>
        <v>15.87899451798369</v>
      </c>
      <c r="I25" s="43">
        <f t="shared" si="10"/>
        <v>-1.4978969893742644</v>
      </c>
      <c r="J25" s="43">
        <f t="shared" ca="1" si="10"/>
        <v>13.171743363850874</v>
      </c>
      <c r="K25" s="43">
        <f t="shared" ca="1" si="10"/>
        <v>15.91722988707963</v>
      </c>
      <c r="L25" s="43">
        <f t="shared" ca="1" si="10"/>
        <v>18.876946321771573</v>
      </c>
      <c r="M25" s="43">
        <f t="shared" ca="1" si="10"/>
        <v>22.112486435436491</v>
      </c>
      <c r="N25" s="43">
        <f t="shared" ca="1" si="10"/>
        <v>25.899358365149102</v>
      </c>
      <c r="O25" s="43">
        <f t="shared" ca="1" si="10"/>
        <v>30.257996330006439</v>
      </c>
      <c r="P25" s="43">
        <f t="shared" ca="1" si="10"/>
        <v>35.051072854855427</v>
      </c>
      <c r="Q25" s="43">
        <f t="shared" ca="1" si="10"/>
        <v>40.509896441076783</v>
      </c>
      <c r="R25" s="43">
        <f t="shared" ca="1" si="10"/>
        <v>46.594813360096154</v>
      </c>
      <c r="S25" s="43">
        <f t="shared" ca="1" si="10"/>
        <v>53.316131755191719</v>
      </c>
    </row>
    <row r="26" spans="2:19" x14ac:dyDescent="0.2">
      <c r="B26" s="3" t="s">
        <v>295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2:19" x14ac:dyDescent="0.2">
      <c r="B27" t="s">
        <v>296</v>
      </c>
      <c r="E27" s="16">
        <f>Hist!E92</f>
        <v>0</v>
      </c>
      <c r="F27" s="16">
        <f>Hist!F92</f>
        <v>645.726</v>
      </c>
      <c r="G27" s="16">
        <f>Hist!G92</f>
        <v>727.95399999999995</v>
      </c>
      <c r="H27" s="16">
        <f>Hist!H92</f>
        <v>837.22799999999995</v>
      </c>
      <c r="I27" s="16">
        <f>Hist!I92</f>
        <v>926.68100000000004</v>
      </c>
      <c r="J27" s="21">
        <f>Rev_Build!J17*Inputs!J63</f>
        <v>937.57222350000006</v>
      </c>
      <c r="K27" s="21">
        <f>Rev_Build!K17*Inputs!K63</f>
        <v>972.93082437600003</v>
      </c>
      <c r="L27" s="21">
        <f>Rev_Build!L17*Inputs!L63</f>
        <v>1014.2843548494851</v>
      </c>
      <c r="M27" s="21">
        <f>Rev_Build!M17*Inputs!M63</f>
        <v>1055.021800175607</v>
      </c>
      <c r="N27" s="21">
        <f>Rev_Build!N17*Inputs!N63</f>
        <v>1093.6131477595686</v>
      </c>
      <c r="O27" s="21">
        <f>Rev_Build!O17*Inputs!O63</f>
        <v>1136.4083893335005</v>
      </c>
      <c r="P27" s="21">
        <f>Rev_Build!P17*Inputs!P63</f>
        <v>1178.1912868185732</v>
      </c>
      <c r="Q27" s="21">
        <f>Rev_Build!Q17*Inputs!Q63</f>
        <v>1218.6066440490702</v>
      </c>
      <c r="R27" s="21">
        <f>Rev_Build!R17*Inputs!R63</f>
        <v>1257.3070277302675</v>
      </c>
      <c r="S27" s="21">
        <f>Rev_Build!S17*Inputs!S63</f>
        <v>1293.9616594744559</v>
      </c>
    </row>
    <row r="28" spans="2:19" x14ac:dyDescent="0.2">
      <c r="B28" t="s">
        <v>297</v>
      </c>
      <c r="E28" s="16">
        <f>Hist!E96</f>
        <v>0</v>
      </c>
      <c r="F28" s="16">
        <f>Hist!F96</f>
        <v>154.44</v>
      </c>
      <c r="G28" s="16">
        <f>Hist!G96</f>
        <v>205.59299999999999</v>
      </c>
      <c r="H28" s="16">
        <f>Hist!H96</f>
        <v>250.40600000000001</v>
      </c>
      <c r="I28" s="16">
        <f>Hist!I96</f>
        <v>251.89</v>
      </c>
      <c r="J28" s="21">
        <f>Rev_Build!J24*Inputs!J67</f>
        <v>229.24190850000002</v>
      </c>
      <c r="K28" s="21">
        <f>Rev_Build!K24*Inputs!K67</f>
        <v>225.508309975</v>
      </c>
      <c r="L28" s="21">
        <f>Rev_Build!L24*Inputs!L67</f>
        <v>224.40054110079996</v>
      </c>
      <c r="M28" s="21">
        <f>Rev_Build!M24*Inputs!M67</f>
        <v>225.76352250713302</v>
      </c>
      <c r="N28" s="21">
        <f>Rev_Build!N24*Inputs!N67</f>
        <v>231.49569474385743</v>
      </c>
      <c r="O28" s="21">
        <f>Rev_Build!O24*Inputs!O67</f>
        <v>237.35846945059046</v>
      </c>
      <c r="P28" s="21">
        <f>Rev_Build!P24*Inputs!P67</f>
        <v>243.35233841327923</v>
      </c>
      <c r="Q28" s="21">
        <f>Rev_Build!Q24*Inputs!Q67</f>
        <v>249.47811796234768</v>
      </c>
      <c r="R28" s="21">
        <f>Rev_Build!R24*Inputs!R67</f>
        <v>255.73683773583369</v>
      </c>
      <c r="S28" s="21">
        <f>Rev_Build!S24*Inputs!S67</f>
        <v>262.13025867922948</v>
      </c>
    </row>
    <row r="29" spans="2:19" x14ac:dyDescent="0.2">
      <c r="B29" t="s">
        <v>298</v>
      </c>
      <c r="J29" s="21">
        <f>J7*Inputs!J71</f>
        <v>287.28181930000005</v>
      </c>
      <c r="K29" s="21">
        <f>K7*Inputs!K71</f>
        <v>297.35698483400006</v>
      </c>
      <c r="L29" s="21">
        <f>L7*Inputs!L71</f>
        <v>309.63772786842003</v>
      </c>
      <c r="M29" s="21">
        <f>M7*Inputs!M71</f>
        <v>322.43336203615041</v>
      </c>
      <c r="N29" s="21">
        <f>N7*Inputs!N71</f>
        <v>334.97282232518978</v>
      </c>
      <c r="O29" s="21">
        <f>O7*Inputs!O71</f>
        <v>347.3707237791869</v>
      </c>
      <c r="P29" s="21">
        <f>P7*Inputs!P71</f>
        <v>359.53529771146992</v>
      </c>
      <c r="Q29" s="21">
        <f>Q7*Inputs!Q71</f>
        <v>371.37463763398438</v>
      </c>
      <c r="R29" s="21">
        <f>R7*Inputs!R71</f>
        <v>382.79889705655091</v>
      </c>
      <c r="S29" s="21">
        <f>S7*Inputs!S71</f>
        <v>393.72270994061364</v>
      </c>
    </row>
    <row r="30" spans="2:19" x14ac:dyDescent="0.2">
      <c r="B30" t="s">
        <v>299</v>
      </c>
      <c r="E30" s="21">
        <f>Hist!E29-Hist!E28</f>
        <v>5.835999999999899</v>
      </c>
      <c r="F30" s="21">
        <f>Hist!F29-Hist!F28</f>
        <v>35.140999999999963</v>
      </c>
      <c r="G30" s="21">
        <f>Hist!G29-Hist!G28</f>
        <v>49.541999999999916</v>
      </c>
      <c r="H30" s="21">
        <f>Hist!H29-Hist!H28</f>
        <v>4.2660000000000764</v>
      </c>
      <c r="I30" s="21">
        <f>Hist!I29-Hist!I28</f>
        <v>13.037000000000035</v>
      </c>
      <c r="J30" s="21">
        <f>J7*Inputs!J75</f>
        <v>24.624155940000001</v>
      </c>
      <c r="K30" s="21">
        <f>K7*Inputs!K75</f>
        <v>16.991827704800002</v>
      </c>
      <c r="L30" s="21">
        <f>L7*Inputs!L75</f>
        <v>17.693584449623998</v>
      </c>
      <c r="M30" s="21">
        <f>M7*Inputs!M75</f>
        <v>18.424763544922879</v>
      </c>
      <c r="N30" s="21">
        <f>N7*Inputs!N75</f>
        <v>19.141304132867987</v>
      </c>
      <c r="O30" s="21">
        <f>O7*Inputs!O75</f>
        <v>19.849755644524965</v>
      </c>
      <c r="P30" s="21">
        <f>P7*Inputs!P75</f>
        <v>20.544874154941137</v>
      </c>
      <c r="Q30" s="21">
        <f>Q7*Inputs!Q75</f>
        <v>21.221407864799104</v>
      </c>
      <c r="R30" s="21">
        <f>R7*Inputs!R75</f>
        <v>21.874222688945764</v>
      </c>
      <c r="S30" s="21">
        <f>S7*Inputs!S75</f>
        <v>22.498440568035065</v>
      </c>
    </row>
    <row r="31" spans="2:19" x14ac:dyDescent="0.2">
      <c r="B31" s="3" t="s">
        <v>300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2:19" x14ac:dyDescent="0.2">
      <c r="B32" t="s">
        <v>301</v>
      </c>
      <c r="E32" s="16">
        <f>Hist!E21</f>
        <v>31.975999999999999</v>
      </c>
      <c r="F32" s="16">
        <f>Hist!F21</f>
        <v>39.228999999999999</v>
      </c>
      <c r="G32" s="16">
        <f>Hist!G21</f>
        <v>54.304000000000002</v>
      </c>
      <c r="H32" s="16">
        <f>Hist!H21</f>
        <v>69.84</v>
      </c>
      <c r="I32" s="16">
        <f>Hist!I21</f>
        <v>79.281999999999996</v>
      </c>
      <c r="J32" s="21">
        <f>Fixed_Assets!J9+Fixed_Assets!J15</f>
        <v>77.283929999999998</v>
      </c>
      <c r="K32" s="21">
        <f>Fixed_Assets!K9+Fixed_Assets!K15</f>
        <v>77.686441743199993</v>
      </c>
      <c r="L32" s="21">
        <f>Fixed_Assets!L9+Fixed_Assets!L15</f>
        <v>78.243041630680011</v>
      </c>
      <c r="M32" s="21">
        <f>Fixed_Assets!M9+Fixed_Assets!M15</f>
        <v>78.980239749277672</v>
      </c>
      <c r="N32" s="21">
        <f>Fixed_Assets!N9+Fixed_Assets!N15</f>
        <v>79.806567068272869</v>
      </c>
      <c r="O32" s="21">
        <f>Fixed_Assets!O9+Fixed_Assets!O15</f>
        <v>82.28805644480866</v>
      </c>
      <c r="P32" s="21">
        <f>Fixed_Assets!P9+Fixed_Assets!P15</f>
        <v>85.004578655465636</v>
      </c>
      <c r="Q32" s="21">
        <f>Fixed_Assets!Q9+Fixed_Assets!Q15</f>
        <v>87.735809787254382</v>
      </c>
      <c r="R32" s="21">
        <f>Fixed_Assets!R9+Fixed_Assets!R15</f>
        <v>90.461268771801045</v>
      </c>
      <c r="S32" s="21">
        <f>Fixed_Assets!S9+Fixed_Assets!S15</f>
        <v>93.160461828116908</v>
      </c>
    </row>
    <row r="33" spans="2:19" x14ac:dyDescent="0.2">
      <c r="B33" s="1" t="s">
        <v>302</v>
      </c>
      <c r="E33" s="41">
        <f t="shared" ref="E33:S33" si="11">E15+E32+E14</f>
        <v>715.0400000000003</v>
      </c>
      <c r="F33" s="41">
        <f t="shared" si="11"/>
        <v>889.98500000000024</v>
      </c>
      <c r="G33" s="41">
        <f t="shared" si="11"/>
        <v>1100.3739999999998</v>
      </c>
      <c r="H33" s="41">
        <f t="shared" si="11"/>
        <v>1115.8330000000001</v>
      </c>
      <c r="I33" s="41">
        <f t="shared" si="11"/>
        <v>966.91199999999981</v>
      </c>
      <c r="J33" s="41">
        <f t="shared" si="11"/>
        <v>970.03191115999994</v>
      </c>
      <c r="K33" s="41">
        <f t="shared" si="11"/>
        <v>1031.2553096953998</v>
      </c>
      <c r="L33" s="41">
        <f t="shared" si="11"/>
        <v>1091.2856744702108</v>
      </c>
      <c r="M33" s="41">
        <f t="shared" si="11"/>
        <v>1145.2726008918776</v>
      </c>
      <c r="N33" s="41">
        <f t="shared" si="11"/>
        <v>1194.6982939042177</v>
      </c>
      <c r="O33" s="41">
        <f t="shared" si="11"/>
        <v>1240.2902324188078</v>
      </c>
      <c r="P33" s="41">
        <f t="shared" si="11"/>
        <v>1285.1410821531615</v>
      </c>
      <c r="Q33" s="41">
        <f t="shared" si="11"/>
        <v>1328.6807173617763</v>
      </c>
      <c r="R33" s="41">
        <f t="shared" si="11"/>
        <v>1370.5465375447757</v>
      </c>
      <c r="S33" s="41">
        <f t="shared" si="11"/>
        <v>1410.3924560594826</v>
      </c>
    </row>
    <row r="34" spans="2:19" x14ac:dyDescent="0.2">
      <c r="B34" s="17" t="s">
        <v>303</v>
      </c>
      <c r="E34" s="18">
        <f t="shared" ref="E34:S34" si="12">E33/E7</f>
        <v>0.30908405578590287</v>
      </c>
      <c r="F34" s="18">
        <f t="shared" si="12"/>
        <v>0.25034845435353459</v>
      </c>
      <c r="G34" s="18">
        <f t="shared" si="12"/>
        <v>0.27770763136090804</v>
      </c>
      <c r="H34" s="18">
        <f t="shared" si="12"/>
        <v>0.27201453496592487</v>
      </c>
      <c r="I34" s="18">
        <f t="shared" si="12"/>
        <v>0.23929633051340535</v>
      </c>
      <c r="J34" s="18">
        <f t="shared" si="12"/>
        <v>0.23636105461408149</v>
      </c>
      <c r="K34" s="18">
        <f t="shared" si="12"/>
        <v>0.24276501094795863</v>
      </c>
      <c r="L34" s="18">
        <f t="shared" si="12"/>
        <v>0.24670765329145081</v>
      </c>
      <c r="M34" s="18">
        <f t="shared" si="12"/>
        <v>0.24863767680914817</v>
      </c>
      <c r="N34" s="18">
        <f t="shared" si="12"/>
        <v>0.24965870363091364</v>
      </c>
      <c r="O34" s="18">
        <f t="shared" si="12"/>
        <v>0.24993561727011171</v>
      </c>
      <c r="P34" s="18">
        <f t="shared" si="12"/>
        <v>0.2502115267216819</v>
      </c>
      <c r="Q34" s="18">
        <f t="shared" si="12"/>
        <v>0.25044157783060533</v>
      </c>
      <c r="R34" s="18">
        <f t="shared" si="12"/>
        <v>0.25062312970552092</v>
      </c>
      <c r="S34" s="18">
        <f t="shared" si="12"/>
        <v>0.25075381590016776</v>
      </c>
    </row>
    <row r="35" spans="2:19" x14ac:dyDescent="0.2">
      <c r="B35" s="1" t="s">
        <v>304</v>
      </c>
      <c r="E35" s="41">
        <f>Hist!E28</f>
        <v>689.42600000000004</v>
      </c>
      <c r="F35" s="41">
        <f>Hist!F28</f>
        <v>951.19100000000003</v>
      </c>
      <c r="G35" s="41">
        <f>Hist!G28</f>
        <v>1049.095</v>
      </c>
      <c r="H35" s="41">
        <f>Hist!H28</f>
        <v>1045.992</v>
      </c>
      <c r="I35" s="41">
        <f>Hist!I28</f>
        <v>887.63</v>
      </c>
      <c r="J35" s="41">
        <f t="shared" ref="J35:S35" si="13">J15+J14</f>
        <v>892.74798115999988</v>
      </c>
      <c r="K35" s="41">
        <f t="shared" si="13"/>
        <v>953.56886795219975</v>
      </c>
      <c r="L35" s="41">
        <f t="shared" si="13"/>
        <v>1013.0426328395308</v>
      </c>
      <c r="M35" s="41">
        <f t="shared" si="13"/>
        <v>1066.2923611425999</v>
      </c>
      <c r="N35" s="41">
        <f t="shared" si="13"/>
        <v>1114.8917268359448</v>
      </c>
      <c r="O35" s="41">
        <f t="shared" si="13"/>
        <v>1158.0021759739991</v>
      </c>
      <c r="P35" s="41">
        <f t="shared" si="13"/>
        <v>1200.1365034976959</v>
      </c>
      <c r="Q35" s="41">
        <f t="shared" si="13"/>
        <v>1240.9449075745219</v>
      </c>
      <c r="R35" s="41">
        <f t="shared" si="13"/>
        <v>1280.0852687729746</v>
      </c>
      <c r="S35" s="41">
        <f t="shared" si="13"/>
        <v>1317.2319942313657</v>
      </c>
    </row>
    <row r="36" spans="2:19" x14ac:dyDescent="0.2">
      <c r="B36" s="17" t="s">
        <v>305</v>
      </c>
      <c r="E36" s="18">
        <f t="shared" ref="E36:S36" si="14">E35/E7</f>
        <v>0.29801211714624609</v>
      </c>
      <c r="F36" s="18">
        <f t="shared" si="14"/>
        <v>0.26756540463602518</v>
      </c>
      <c r="G36" s="18">
        <f t="shared" si="14"/>
        <v>0.26476605910587842</v>
      </c>
      <c r="H36" s="18">
        <f t="shared" si="14"/>
        <v>0.2549888983907786</v>
      </c>
      <c r="I36" s="18">
        <f t="shared" si="14"/>
        <v>0.21967521538011117</v>
      </c>
      <c r="J36" s="18">
        <f t="shared" si="14"/>
        <v>0.21752980691040893</v>
      </c>
      <c r="K36" s="18">
        <f t="shared" si="14"/>
        <v>0.22447705674012389</v>
      </c>
      <c r="L36" s="18">
        <f t="shared" si="14"/>
        <v>0.22901919861943151</v>
      </c>
      <c r="M36" s="18">
        <f t="shared" si="14"/>
        <v>0.23149113605562163</v>
      </c>
      <c r="N36" s="18">
        <f t="shared" si="14"/>
        <v>0.23298135155201632</v>
      </c>
      <c r="O36" s="18">
        <f t="shared" si="14"/>
        <v>0.23335343703203795</v>
      </c>
      <c r="P36" s="18">
        <f t="shared" si="14"/>
        <v>0.2336614952122367</v>
      </c>
      <c r="Q36" s="18">
        <f t="shared" si="14"/>
        <v>0.23390435082922706</v>
      </c>
      <c r="R36" s="18">
        <f t="shared" si="14"/>
        <v>0.23408105274888172</v>
      </c>
      <c r="S36" s="18">
        <f t="shared" si="14"/>
        <v>0.23419080806922044</v>
      </c>
    </row>
    <row r="37" spans="2:19" x14ac:dyDescent="0.2">
      <c r="B37" t="s">
        <v>306</v>
      </c>
      <c r="E37" s="16">
        <f>Hist!E29</f>
        <v>695.26199999999994</v>
      </c>
      <c r="F37" s="16">
        <f>Hist!F29</f>
        <v>986.33199999999999</v>
      </c>
      <c r="G37" s="16">
        <f>Hist!G29</f>
        <v>1098.6369999999999</v>
      </c>
      <c r="H37" s="16">
        <f>Hist!H29</f>
        <v>1050.258</v>
      </c>
      <c r="I37" s="16">
        <f>Hist!I29</f>
        <v>900.66700000000003</v>
      </c>
      <c r="J37" s="21">
        <f t="shared" ref="J37:S37" si="15">J35+J30</f>
        <v>917.37213709999992</v>
      </c>
      <c r="K37" s="21">
        <f t="shared" si="15"/>
        <v>970.56069565699977</v>
      </c>
      <c r="L37" s="21">
        <f t="shared" si="15"/>
        <v>1030.7362172891549</v>
      </c>
      <c r="M37" s="21">
        <f t="shared" si="15"/>
        <v>1084.7171246875228</v>
      </c>
      <c r="N37" s="21">
        <f t="shared" si="15"/>
        <v>1134.0330309688129</v>
      </c>
      <c r="O37" s="21">
        <f t="shared" si="15"/>
        <v>1177.8519316185241</v>
      </c>
      <c r="P37" s="21">
        <f t="shared" si="15"/>
        <v>1220.6813776526371</v>
      </c>
      <c r="Q37" s="21">
        <f t="shared" si="15"/>
        <v>1262.1663154393211</v>
      </c>
      <c r="R37" s="21">
        <f t="shared" si="15"/>
        <v>1301.9594914619204</v>
      </c>
      <c r="S37" s="21">
        <f t="shared" si="15"/>
        <v>1339.7304347994007</v>
      </c>
    </row>
    <row r="38" spans="2:19" x14ac:dyDescent="0.2">
      <c r="B38" s="17" t="s">
        <v>307</v>
      </c>
      <c r="E38" s="18">
        <f t="shared" ref="E38:S38" si="16">E37/E7</f>
        <v>0.30053479356933638</v>
      </c>
      <c r="F38" s="18">
        <f t="shared" si="16"/>
        <v>0.27745039711841257</v>
      </c>
      <c r="G38" s="18">
        <f t="shared" si="16"/>
        <v>0.27726925481286724</v>
      </c>
      <c r="H38" s="18">
        <f t="shared" si="16"/>
        <v>0.25602885150756638</v>
      </c>
      <c r="I38" s="18">
        <f t="shared" si="16"/>
        <v>0.22290167886479567</v>
      </c>
      <c r="J38" s="18">
        <f t="shared" si="16"/>
        <v>0.22352980691040894</v>
      </c>
      <c r="K38" s="18">
        <f t="shared" si="16"/>
        <v>0.22847705674012389</v>
      </c>
      <c r="L38" s="18">
        <f t="shared" si="16"/>
        <v>0.23301919861943152</v>
      </c>
      <c r="M38" s="18">
        <f t="shared" si="16"/>
        <v>0.23549113605562161</v>
      </c>
      <c r="N38" s="18">
        <f t="shared" si="16"/>
        <v>0.23698135155201636</v>
      </c>
      <c r="O38" s="18">
        <f t="shared" si="16"/>
        <v>0.23735343703203796</v>
      </c>
      <c r="P38" s="18">
        <f t="shared" si="16"/>
        <v>0.23766149521223673</v>
      </c>
      <c r="Q38" s="18">
        <f t="shared" si="16"/>
        <v>0.23790435082922706</v>
      </c>
      <c r="R38" s="18">
        <f t="shared" si="16"/>
        <v>0.23808105274888172</v>
      </c>
      <c r="S38" s="18">
        <f t="shared" si="16"/>
        <v>0.23819080806922041</v>
      </c>
    </row>
    <row r="39" spans="2:19" x14ac:dyDescent="0.2">
      <c r="B39" s="1" t="s">
        <v>308</v>
      </c>
      <c r="E39" s="43">
        <f>Hist!E30/E24</f>
        <v>8.3153269091936348</v>
      </c>
      <c r="F39" s="43">
        <f>Hist!F30/F24</f>
        <v>10.923588039867109</v>
      </c>
      <c r="G39" s="43">
        <f>Hist!G30/G24</f>
        <v>12.034784994834711</v>
      </c>
      <c r="H39" s="43">
        <f>Hist!H30/H24</f>
        <v>13.167903463029816</v>
      </c>
      <c r="I39" s="43">
        <f>Hist!I30/I24</f>
        <v>12.597402597402597</v>
      </c>
      <c r="J39" s="43">
        <f ca="1">(J37+J17-J18+J19)*(1-Inputs!J103)/J24</f>
        <v>14.444714924120854</v>
      </c>
      <c r="K39" s="43">
        <f ca="1">(K37+K17-K18+K19)*(1-Inputs!K103)/K24</f>
        <v>17.050403076486482</v>
      </c>
      <c r="L39" s="43">
        <f ca="1">(L37+L17-L18+L19)*(1-Inputs!L103)/L24</f>
        <v>20.208268319075568</v>
      </c>
      <c r="M39" s="43">
        <f ca="1">(M37+M17-M18+M19)*(1-Inputs!M103)/M24</f>
        <v>23.661987316436033</v>
      </c>
      <c r="N39" s="43">
        <f ca="1">(N37+N17-N18+N19)*(1-Inputs!N103)/N24</f>
        <v>27.708376608364393</v>
      </c>
      <c r="O39" s="43">
        <f ca="1">(O37+O17-O18+O19)*(1-Inputs!O103)/O24</f>
        <v>32.37189736526696</v>
      </c>
      <c r="P39" s="43">
        <f ca="1">(P37+P17-P18+P19)*(1-Inputs!P103)/P24</f>
        <v>37.499852393659573</v>
      </c>
      <c r="Q39" s="43">
        <f ca="1">(Q37+Q17-Q18+Q19)*(1-Inputs!Q103)/Q24</f>
        <v>43.338463049933587</v>
      </c>
      <c r="R39" s="43">
        <f ca="1">(R37+R17-R18+R19)*(1-Inputs!R103)/R24</f>
        <v>49.846774160914201</v>
      </c>
      <c r="S39" s="43">
        <f ca="1">(S37+S17-S18+S19)*(1-Inputs!S103)/S24</f>
        <v>57.035881977097986</v>
      </c>
    </row>
    <row r="40" spans="2:19" x14ac:dyDescent="0.2">
      <c r="B40" s="17" t="s">
        <v>22</v>
      </c>
      <c r="F40" s="18">
        <f>IFERROR(F39/E39-1,"n.m.")</f>
        <v>0.31366910274925153</v>
      </c>
      <c r="G40" s="18">
        <f>IFERROR(G39/F39-1,"n.m.")</f>
        <v>0.10172453876072018</v>
      </c>
      <c r="H40" s="18">
        <f>IFERROR(H39/G39-1,"n.m.")</f>
        <v>9.4153611276099669E-2</v>
      </c>
      <c r="I40" s="18">
        <f>IFERROR(I39/H39-1,"n.m.")</f>
        <v>-4.3325109971299236E-2</v>
      </c>
      <c r="J40" s="18">
        <f t="shared" ref="J40:S40" ca="1" si="17">J39/I39-1</f>
        <v>0.1466423187188719</v>
      </c>
      <c r="K40" s="18">
        <f t="shared" ca="1" si="17"/>
        <v>0.18039041726011895</v>
      </c>
      <c r="L40" s="18">
        <f t="shared" ca="1" si="17"/>
        <v>0.18520765922208438</v>
      </c>
      <c r="M40" s="18">
        <f t="shared" ca="1" si="17"/>
        <v>0.17090623218320644</v>
      </c>
      <c r="N40" s="18">
        <f t="shared" ca="1" si="17"/>
        <v>0.1710080069697979</v>
      </c>
      <c r="O40" s="18">
        <f t="shared" ca="1" si="17"/>
        <v>0.16830725317537287</v>
      </c>
      <c r="P40" s="18">
        <f t="shared" ca="1" si="17"/>
        <v>0.15840761418867566</v>
      </c>
      <c r="Q40" s="18">
        <f t="shared" ca="1" si="17"/>
        <v>0.1556968970166186</v>
      </c>
      <c r="R40" s="18">
        <f t="shared" ca="1" si="17"/>
        <v>0.15017401755761117</v>
      </c>
      <c r="S40" s="18">
        <f t="shared" ca="1" si="17"/>
        <v>0.14422413360142583</v>
      </c>
    </row>
    <row r="41" spans="2:19" x14ac:dyDescent="0.2">
      <c r="B41" s="3" t="s">
        <v>309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spans="2:19" x14ac:dyDescent="0.2">
      <c r="B42" t="s">
        <v>310</v>
      </c>
      <c r="E42" s="16">
        <f>Hist!E93</f>
        <v>861.39400000000001</v>
      </c>
      <c r="F42" s="16">
        <f>Hist!F93</f>
        <v>852.02499999999998</v>
      </c>
      <c r="G42" s="16">
        <f>Hist!G93</f>
        <v>1079.33</v>
      </c>
      <c r="H42" s="16">
        <f>Hist!H93</f>
        <v>1182.0119999999999</v>
      </c>
      <c r="I42" s="16">
        <f>Hist!I93</f>
        <v>1111.6790000000001</v>
      </c>
      <c r="J42" s="21">
        <f>Rev_Build!J17*(Inputs!J55-Inputs!J63)</f>
        <v>1142.1334359</v>
      </c>
      <c r="K42" s="21">
        <f>Rev_Build!K17*(Inputs!K55-Inputs!K63)</f>
        <v>1195.0611495760002</v>
      </c>
      <c r="L42" s="21">
        <f>Rev_Build!L17*(Inputs!L55-Inputs!L63)</f>
        <v>1256.2237422447749</v>
      </c>
      <c r="M42" s="21">
        <f>Rev_Build!M17*(Inputs!M55-Inputs!M63)</f>
        <v>1317.5617873160809</v>
      </c>
      <c r="N42" s="21">
        <f>Rev_Build!N17*(Inputs!N55-Inputs!N63)</f>
        <v>1377.1424823639009</v>
      </c>
      <c r="O42" s="21">
        <f>Rev_Build!O17*(Inputs!O55-Inputs!O63)</f>
        <v>1431.0327865681115</v>
      </c>
      <c r="P42" s="21">
        <f>Rev_Build!P17*(Inputs!P55-Inputs!P63)</f>
        <v>1483.6482871048697</v>
      </c>
      <c r="Q42" s="21">
        <f>Rev_Build!Q17*(Inputs!Q55-Inputs!Q63)</f>
        <v>1534.5416999136437</v>
      </c>
      <c r="R42" s="21">
        <f>Rev_Build!R17*(Inputs!R55-Inputs!R63)</f>
        <v>1583.2755164010771</v>
      </c>
      <c r="S42" s="21">
        <f>Rev_Build!S17*(Inputs!S55-Inputs!S63)</f>
        <v>1629.433200819685</v>
      </c>
    </row>
    <row r="43" spans="2:19" x14ac:dyDescent="0.2">
      <c r="B43" s="17" t="s">
        <v>311</v>
      </c>
      <c r="E43" s="18">
        <f>E42/Rev_Build!E17</f>
        <v>0.37234721295262069</v>
      </c>
      <c r="F43" s="18">
        <f>F42/Rev_Build!F17</f>
        <v>0.32041555022798851</v>
      </c>
      <c r="G43" s="18">
        <f>G42/Rev_Build!G17</f>
        <v>0.3582298302596057</v>
      </c>
      <c r="H43" s="18">
        <f>H42/Rev_Build!H17</f>
        <v>0.36059301390160425</v>
      </c>
      <c r="I43" s="18">
        <f>I42/Rev_Build!I17</f>
        <v>0.33425842209123979</v>
      </c>
      <c r="J43" s="18">
        <f>J42/Rev_Build!J17</f>
        <v>0.33499999999999996</v>
      </c>
      <c r="K43" s="18">
        <f>K42/Rev_Build!K17</f>
        <v>0.33625000000000005</v>
      </c>
      <c r="L43" s="18">
        <f>L42/Rev_Build!L17</f>
        <v>0.33749999999999997</v>
      </c>
      <c r="M43" s="18">
        <f>M42/Rev_Build!M17</f>
        <v>0.33875</v>
      </c>
      <c r="N43" s="18">
        <f>N42/Rev_Build!N17</f>
        <v>0.33999999999999997</v>
      </c>
      <c r="O43" s="18">
        <f>O42/Rev_Build!O17</f>
        <v>0.33999999999999997</v>
      </c>
      <c r="P43" s="18">
        <f>P42/Rev_Build!P17</f>
        <v>0.33999999999999997</v>
      </c>
      <c r="Q43" s="18">
        <f>Q42/Rev_Build!Q17</f>
        <v>0.33999999999999997</v>
      </c>
      <c r="R43" s="18">
        <f>R42/Rev_Build!R17</f>
        <v>0.33999999999999997</v>
      </c>
      <c r="S43" s="18">
        <f>S42/Rev_Build!S17</f>
        <v>0.33999999999999997</v>
      </c>
    </row>
    <row r="44" spans="2:19" x14ac:dyDescent="0.2">
      <c r="B44" t="s">
        <v>312</v>
      </c>
      <c r="E44" s="16">
        <f>Hist!E97</f>
        <v>0</v>
      </c>
      <c r="F44" s="16">
        <f>Hist!F97</f>
        <v>211.36099999999999</v>
      </c>
      <c r="G44" s="16">
        <f>Hist!G97</f>
        <v>212.386</v>
      </c>
      <c r="H44" s="16">
        <f>Hist!H97</f>
        <v>137.40100000000001</v>
      </c>
      <c r="I44" s="16">
        <f>Hist!I97</f>
        <v>-668.85500000000002</v>
      </c>
      <c r="J44" s="21">
        <f>Rev_Build!J24*(Inputs!J59-Inputs!J67)</f>
        <v>62.520520499999982</v>
      </c>
      <c r="K44" s="21">
        <f>Rev_Build!K24*(Inputs!K59-Inputs!K67)</f>
        <v>72.856530914999979</v>
      </c>
      <c r="L44" s="21">
        <f>Rev_Build!L24*(Inputs!L59-Inputs!L67)</f>
        <v>84.150202912799983</v>
      </c>
      <c r="M44" s="21">
        <f>Rev_Build!M24*(Inputs!M59-Inputs!M67)</f>
        <v>89.588699407592472</v>
      </c>
      <c r="N44" s="21">
        <f>Rev_Build!N24*(Inputs!N59-Inputs!N67)</f>
        <v>91.86337093010215</v>
      </c>
      <c r="O44" s="21">
        <f>Rev_Build!O24*(Inputs!O59-Inputs!O67)</f>
        <v>94.189868829599391</v>
      </c>
      <c r="P44" s="21">
        <f>Rev_Build!P24*(Inputs!P59-Inputs!P67)</f>
        <v>96.568388259237793</v>
      </c>
      <c r="Q44" s="21">
        <f>Rev_Build!Q24*(Inputs!Q59-Inputs!Q67)</f>
        <v>98.999253159661777</v>
      </c>
      <c r="R44" s="21">
        <f>Rev_Build!R24*(Inputs!R59-Inputs!R67)</f>
        <v>101.48287211739432</v>
      </c>
      <c r="S44" s="21">
        <f>Rev_Build!S24*(Inputs!S59-Inputs!S67)</f>
        <v>104.01994392032917</v>
      </c>
    </row>
    <row r="45" spans="2:19" x14ac:dyDescent="0.2">
      <c r="B45" s="17" t="s">
        <v>311</v>
      </c>
      <c r="F45" s="18">
        <f>F44/Rev_Build!F24</f>
        <v>0.23593083740763063</v>
      </c>
      <c r="G45" s="18">
        <f>G44/Rev_Build!G24</f>
        <v>0.2237071476195843</v>
      </c>
      <c r="H45" s="18">
        <f>H44/Rev_Build!H24</f>
        <v>0.16672025781996044</v>
      </c>
      <c r="I45" s="18">
        <f>I44/Rev_Build!I24</f>
        <v>-0.93567091936657165</v>
      </c>
      <c r="J45" s="18">
        <f>J44/Rev_Build!J24</f>
        <v>8.9999999999999969E-2</v>
      </c>
      <c r="K45" s="18">
        <f>K44/Rev_Build!K24</f>
        <v>0.10499999999999997</v>
      </c>
      <c r="L45" s="18">
        <f>L44/Rev_Build!L24</f>
        <v>0.12</v>
      </c>
      <c r="M45" s="18">
        <f>M44/Rev_Build!M24</f>
        <v>0.125</v>
      </c>
      <c r="N45" s="18">
        <f>N44/Rev_Build!N24</f>
        <v>0.125</v>
      </c>
      <c r="O45" s="18">
        <f>O44/Rev_Build!O24</f>
        <v>0.125</v>
      </c>
      <c r="P45" s="18">
        <f>P44/Rev_Build!P24</f>
        <v>0.125</v>
      </c>
      <c r="Q45" s="18">
        <f>Q44/Rev_Build!Q24</f>
        <v>0.125</v>
      </c>
      <c r="R45" s="18">
        <f>R44/Rev_Build!R24</f>
        <v>0.125</v>
      </c>
      <c r="S45" s="18">
        <f>S44/Rev_Build!S24</f>
        <v>0.125</v>
      </c>
    </row>
    <row r="46" spans="2:19" x14ac:dyDescent="0.2">
      <c r="B46" t="s">
        <v>313</v>
      </c>
      <c r="E46" s="16">
        <f>Hist!E98</f>
        <v>-178.33</v>
      </c>
      <c r="F46" s="16">
        <f>Hist!F98</f>
        <v>-212.63</v>
      </c>
      <c r="G46" s="16">
        <f>Hist!G98</f>
        <v>-254.93299999999999</v>
      </c>
      <c r="H46" s="16">
        <f>Hist!H98</f>
        <v>-297.50200000000001</v>
      </c>
      <c r="I46" s="16">
        <f>Hist!I98</f>
        <v>-293.30900000000003</v>
      </c>
      <c r="J46" s="21">
        <f t="shared" ref="J46:S46" si="18">-J29-J30</f>
        <v>-311.90597524000003</v>
      </c>
      <c r="K46" s="21">
        <f t="shared" si="18"/>
        <v>-314.34881253880008</v>
      </c>
      <c r="L46" s="21">
        <f t="shared" si="18"/>
        <v>-327.33131231804401</v>
      </c>
      <c r="M46" s="21">
        <f t="shared" si="18"/>
        <v>-340.8581255810733</v>
      </c>
      <c r="N46" s="21">
        <f t="shared" si="18"/>
        <v>-354.11412645805774</v>
      </c>
      <c r="O46" s="21">
        <f t="shared" si="18"/>
        <v>-367.22047942371188</v>
      </c>
      <c r="P46" s="21">
        <f t="shared" si="18"/>
        <v>-380.08017186641104</v>
      </c>
      <c r="Q46" s="21">
        <f t="shared" si="18"/>
        <v>-392.5960454987835</v>
      </c>
      <c r="R46" s="21">
        <f t="shared" si="18"/>
        <v>-404.67311974549671</v>
      </c>
      <c r="S46" s="21">
        <f t="shared" si="18"/>
        <v>-416.22115050864869</v>
      </c>
    </row>
    <row r="47" spans="2:19" x14ac:dyDescent="0.2">
      <c r="B47" s="1" t="s">
        <v>314</v>
      </c>
      <c r="E47" s="42">
        <f t="shared" ref="E47:S47" si="19">E42+E44+E46</f>
        <v>683.06399999999996</v>
      </c>
      <c r="F47" s="42">
        <f t="shared" si="19"/>
        <v>850.75599999999997</v>
      </c>
      <c r="G47" s="42">
        <f t="shared" si="19"/>
        <v>1036.7829999999999</v>
      </c>
      <c r="H47" s="42">
        <f t="shared" si="19"/>
        <v>1021.9110000000001</v>
      </c>
      <c r="I47" s="42">
        <f t="shared" si="19"/>
        <v>149.51500000000004</v>
      </c>
      <c r="J47" s="42">
        <f t="shared" si="19"/>
        <v>892.74798115999988</v>
      </c>
      <c r="K47" s="42">
        <f t="shared" si="19"/>
        <v>953.56886795219998</v>
      </c>
      <c r="L47" s="42">
        <f t="shared" si="19"/>
        <v>1013.0426328395311</v>
      </c>
      <c r="M47" s="42">
        <f t="shared" si="19"/>
        <v>1066.2923611425999</v>
      </c>
      <c r="N47" s="42">
        <f t="shared" si="19"/>
        <v>1114.8917268359451</v>
      </c>
      <c r="O47" s="42">
        <f t="shared" si="19"/>
        <v>1158.0021759739991</v>
      </c>
      <c r="P47" s="42">
        <f t="shared" si="19"/>
        <v>1200.1365034976964</v>
      </c>
      <c r="Q47" s="42">
        <f t="shared" si="19"/>
        <v>1240.9449075745219</v>
      </c>
      <c r="R47" s="42">
        <f t="shared" si="19"/>
        <v>1280.0852687729746</v>
      </c>
      <c r="S47" s="42">
        <f t="shared" si="19"/>
        <v>1317.2319942313654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S40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315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316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t="s">
        <v>317</v>
      </c>
      <c r="E7" s="16">
        <f>Hist!E32</f>
        <v>213.197</v>
      </c>
      <c r="F7" s="16">
        <f>Hist!F32</f>
        <v>191.62899999999999</v>
      </c>
      <c r="G7" s="16">
        <f>Hist!G32</f>
        <v>149.28800000000001</v>
      </c>
      <c r="H7" s="16">
        <f>Hist!H32</f>
        <v>180.48500000000001</v>
      </c>
      <c r="I7" s="16">
        <f>Hist!I32</f>
        <v>130.35400000000001</v>
      </c>
      <c r="J7" s="16">
        <f ca="1">CF!J35</f>
        <v>149.99999999999952</v>
      </c>
      <c r="K7" s="16">
        <f ca="1">CF!K35</f>
        <v>150.00000000000088</v>
      </c>
      <c r="L7" s="16">
        <f ca="1">CF!L35</f>
        <v>149.99999999999815</v>
      </c>
      <c r="M7" s="16">
        <f ca="1">CF!M35</f>
        <v>218.8121073757878</v>
      </c>
      <c r="N7" s="16">
        <f ca="1">CF!N35</f>
        <v>149.99999999999997</v>
      </c>
      <c r="O7" s="16">
        <f ca="1">CF!O35</f>
        <v>149.99999999999997</v>
      </c>
      <c r="P7" s="16">
        <f ca="1">CF!P35</f>
        <v>150.00000000000009</v>
      </c>
      <c r="Q7" s="16">
        <f ca="1">CF!Q35</f>
        <v>150.00000000000009</v>
      </c>
      <c r="R7" s="16">
        <f ca="1">CF!R35</f>
        <v>150.00000000002237</v>
      </c>
      <c r="S7" s="16">
        <f ca="1">CF!S35</f>
        <v>150.00000006787909</v>
      </c>
    </row>
    <row r="8" spans="2:19" x14ac:dyDescent="0.2">
      <c r="B8" t="s">
        <v>318</v>
      </c>
      <c r="E8" s="16">
        <f>Hist!E33</f>
        <v>182.62899999999999</v>
      </c>
      <c r="F8" s="16">
        <f>Hist!F33</f>
        <v>295.59399999999999</v>
      </c>
      <c r="G8" s="16">
        <f>Hist!G33</f>
        <v>305.74700000000001</v>
      </c>
      <c r="H8" s="16">
        <f>Hist!H33</f>
        <v>257.65699999999998</v>
      </c>
      <c r="I8" s="16">
        <f>Hist!I33</f>
        <v>278.19099999999997</v>
      </c>
      <c r="J8" s="16">
        <f>NWC!J7</f>
        <v>281.0976705479452</v>
      </c>
      <c r="K8" s="16">
        <f>NWC!K7</f>
        <v>290.95595384931511</v>
      </c>
      <c r="L8" s="16">
        <f>NWC!L7</f>
        <v>302.97233646616434</v>
      </c>
      <c r="M8" s="16">
        <f>NWC!M7</f>
        <v>315.49252645415891</v>
      </c>
      <c r="N8" s="16">
        <f>NWC!N7</f>
        <v>327.76205706965732</v>
      </c>
      <c r="O8" s="16">
        <f>NWC!O7</f>
        <v>339.89307610487953</v>
      </c>
      <c r="P8" s="16">
        <f>NWC!P7</f>
        <v>351.79579032433452</v>
      </c>
      <c r="Q8" s="16">
        <f>NWC!Q7</f>
        <v>363.3802716575189</v>
      </c>
      <c r="R8" s="16">
        <f>NWC!R7</f>
        <v>374.55860768742747</v>
      </c>
      <c r="S8" s="16">
        <f>NWC!S7</f>
        <v>385.24727000060039</v>
      </c>
    </row>
    <row r="9" spans="2:19" x14ac:dyDescent="0.2">
      <c r="B9" t="s">
        <v>319</v>
      </c>
      <c r="E9" s="16">
        <f>Hist!E34</f>
        <v>213.52</v>
      </c>
      <c r="F9" s="16">
        <f>Hist!F34</f>
        <v>471.55099999999999</v>
      </c>
      <c r="G9" s="16">
        <f>Hist!G34</f>
        <v>385.05399999999997</v>
      </c>
      <c r="H9" s="16">
        <f>Hist!H34</f>
        <v>356.25400000000002</v>
      </c>
      <c r="I9" s="16">
        <f>Hist!I34</f>
        <v>368.68700000000001</v>
      </c>
      <c r="J9" s="16">
        <f>NWC!J9</f>
        <v>379.73871815890419</v>
      </c>
      <c r="K9" s="16">
        <f>NWC!K9</f>
        <v>390.48769564010962</v>
      </c>
      <c r="L9" s="16">
        <f>NWC!L9</f>
        <v>404.23830603794846</v>
      </c>
      <c r="M9" s="16">
        <f>NWC!M9</f>
        <v>420.43946889299878</v>
      </c>
      <c r="N9" s="16">
        <f>NWC!N9</f>
        <v>436.42988217415189</v>
      </c>
      <c r="O9" s="16">
        <f>NWC!O9</f>
        <v>452.26288152316476</v>
      </c>
      <c r="P9" s="16">
        <f>NWC!P9</f>
        <v>467.82646315382453</v>
      </c>
      <c r="Q9" s="16">
        <f>NWC!Q9</f>
        <v>483.00849339508011</v>
      </c>
      <c r="R9" s="16">
        <f>NWC!R9</f>
        <v>497.69937934287526</v>
      </c>
      <c r="S9" s="16">
        <f>NWC!S9</f>
        <v>511.7950858334392</v>
      </c>
    </row>
    <row r="10" spans="2:19" x14ac:dyDescent="0.2">
      <c r="B10" t="s">
        <v>320</v>
      </c>
      <c r="E10" s="16">
        <f>Hist!E35</f>
        <v>22.300999999999998</v>
      </c>
      <c r="F10" s="16">
        <f>Hist!F35</f>
        <v>14.752000000000001</v>
      </c>
      <c r="G10" s="16">
        <f>Hist!G35</f>
        <v>4.4130000000000003</v>
      </c>
      <c r="H10" s="16">
        <f>Hist!H35</f>
        <v>4.0460000000000003</v>
      </c>
      <c r="I10" s="16">
        <f>Hist!I35</f>
        <v>32.781999999999996</v>
      </c>
      <c r="J10" s="16">
        <f>NWC!J12</f>
        <v>32.781999999999996</v>
      </c>
      <c r="K10" s="16">
        <f>NWC!K12</f>
        <v>32.781999999999996</v>
      </c>
      <c r="L10" s="16">
        <f>NWC!L12</f>
        <v>32.781999999999996</v>
      </c>
      <c r="M10" s="16">
        <f>NWC!M12</f>
        <v>32.781999999999996</v>
      </c>
      <c r="N10" s="16">
        <f>NWC!N12</f>
        <v>32.781999999999996</v>
      </c>
      <c r="O10" s="16">
        <f>NWC!O12</f>
        <v>32.781999999999996</v>
      </c>
      <c r="P10" s="16">
        <f>NWC!P12</f>
        <v>32.781999999999996</v>
      </c>
      <c r="Q10" s="16">
        <f>NWC!Q12</f>
        <v>32.781999999999996</v>
      </c>
      <c r="R10" s="16">
        <f>NWC!R12</f>
        <v>32.781999999999996</v>
      </c>
      <c r="S10" s="16">
        <f>NWC!S12</f>
        <v>32.781999999999996</v>
      </c>
    </row>
    <row r="11" spans="2:19" x14ac:dyDescent="0.2">
      <c r="B11" t="s">
        <v>321</v>
      </c>
      <c r="E11" s="16">
        <f>Hist!E36</f>
        <v>34.921999999999997</v>
      </c>
      <c r="F11" s="16">
        <f>Hist!F36</f>
        <v>52.448999999999998</v>
      </c>
      <c r="G11" s="16">
        <f>Hist!G36</f>
        <v>66.201999999999998</v>
      </c>
      <c r="H11" s="16">
        <f>Hist!H36</f>
        <v>73.826999999999998</v>
      </c>
      <c r="I11" s="16">
        <f>Hist!I36</f>
        <v>75.869</v>
      </c>
      <c r="J11" s="16">
        <f>NWC!J11</f>
        <v>77.976493809999994</v>
      </c>
      <c r="K11" s="16">
        <f>NWC!K11</f>
        <v>80.711181597800007</v>
      </c>
      <c r="L11" s="16">
        <f>NWC!L11</f>
        <v>84.044526135713994</v>
      </c>
      <c r="M11" s="16">
        <f>NWC!M11</f>
        <v>87.517626838383677</v>
      </c>
      <c r="N11" s="16">
        <f>NWC!N11</f>
        <v>90.92119463112293</v>
      </c>
      <c r="O11" s="16">
        <f>NWC!O11</f>
        <v>94.286339311493577</v>
      </c>
      <c r="P11" s="16">
        <f>NWC!P11</f>
        <v>97.588152235970384</v>
      </c>
      <c r="Q11" s="16">
        <f>NWC!Q11</f>
        <v>100.80168735779574</v>
      </c>
      <c r="R11" s="16">
        <f>NWC!R11</f>
        <v>103.90255777249237</v>
      </c>
      <c r="S11" s="16">
        <f>NWC!S11</f>
        <v>106.86759269816656</v>
      </c>
    </row>
    <row r="12" spans="2:19" x14ac:dyDescent="0.2">
      <c r="B12" s="1" t="s">
        <v>322</v>
      </c>
      <c r="E12" s="42">
        <f t="shared" ref="E12:S12" si="0">E7+E8+E9+E10+E11</f>
        <v>666.56900000000007</v>
      </c>
      <c r="F12" s="42">
        <f t="shared" si="0"/>
        <v>1025.9749999999999</v>
      </c>
      <c r="G12" s="42">
        <f t="shared" si="0"/>
        <v>910.70399999999995</v>
      </c>
      <c r="H12" s="42">
        <f t="shared" si="0"/>
        <v>872.26900000000001</v>
      </c>
      <c r="I12" s="42">
        <f t="shared" si="0"/>
        <v>885.88300000000004</v>
      </c>
      <c r="J12" s="42">
        <f t="shared" ca="1" si="0"/>
        <v>921.594882516849</v>
      </c>
      <c r="K12" s="42">
        <f t="shared" ca="1" si="0"/>
        <v>944.93683108722553</v>
      </c>
      <c r="L12" s="42">
        <f t="shared" ca="1" si="0"/>
        <v>974.03716863982493</v>
      </c>
      <c r="M12" s="42">
        <f t="shared" ca="1" si="0"/>
        <v>1075.0437295613292</v>
      </c>
      <c r="N12" s="42">
        <f t="shared" ca="1" si="0"/>
        <v>1037.8951338749321</v>
      </c>
      <c r="O12" s="42">
        <f t="shared" ca="1" si="0"/>
        <v>1069.2242969395379</v>
      </c>
      <c r="P12" s="42">
        <f t="shared" ca="1" si="0"/>
        <v>1099.9924057141295</v>
      </c>
      <c r="Q12" s="42">
        <f t="shared" ca="1" si="0"/>
        <v>1129.9724524103949</v>
      </c>
      <c r="R12" s="42">
        <f t="shared" ca="1" si="0"/>
        <v>1158.9425448028173</v>
      </c>
      <c r="S12" s="42">
        <f t="shared" ca="1" si="0"/>
        <v>1186.6919486000852</v>
      </c>
    </row>
    <row r="13" spans="2:19" x14ac:dyDescent="0.2">
      <c r="B13" t="s">
        <v>323</v>
      </c>
      <c r="E13" s="16">
        <f>Hist!E38</f>
        <v>108.398</v>
      </c>
      <c r="F13" s="16">
        <f>Hist!F38</f>
        <v>181.529</v>
      </c>
      <c r="G13" s="16">
        <f>Hist!G38</f>
        <v>238.315</v>
      </c>
      <c r="H13" s="16">
        <f>Hist!H38</f>
        <v>244.33500000000001</v>
      </c>
      <c r="I13" s="16">
        <f>Hist!I38</f>
        <v>238.191</v>
      </c>
      <c r="J13" s="16">
        <f>Fixed_Assets!J11</f>
        <v>249.07148583999998</v>
      </c>
      <c r="K13" s="16">
        <f>Fixed_Assets!K11</f>
        <v>259.752354916</v>
      </c>
      <c r="L13" s="16">
        <f>Fixed_Assets!L11</f>
        <v>270.78365108381598</v>
      </c>
      <c r="M13" s="16">
        <f>Fixed_Assets!M11</f>
        <v>282.20246551422986</v>
      </c>
      <c r="N13" s="16">
        <f>Fixed_Assets!N11</f>
        <v>293.86111497742894</v>
      </c>
      <c r="O13" s="16">
        <f>Fixed_Assets!O11</f>
        <v>305.67208111072011</v>
      </c>
      <c r="P13" s="16">
        <f>Fixed_Assets!P11</f>
        <v>317.54699907501902</v>
      </c>
      <c r="Q13" s="16">
        <f>Fixed_Assets!Q11</f>
        <v>329.39682074696105</v>
      </c>
      <c r="R13" s="16">
        <f>Fixed_Assets!R11</f>
        <v>341.13244273094307</v>
      </c>
      <c r="S13" s="16">
        <f>Fixed_Assets!S11</f>
        <v>352.66574317496645</v>
      </c>
    </row>
    <row r="14" spans="2:19" x14ac:dyDescent="0.2">
      <c r="B14" t="s">
        <v>324</v>
      </c>
      <c r="E14" s="16">
        <f>Hist!E39</f>
        <v>160.768</v>
      </c>
      <c r="F14" s="16">
        <f>Hist!F39</f>
        <v>239.905</v>
      </c>
      <c r="G14" s="16">
        <f>Hist!G39</f>
        <v>287.44</v>
      </c>
      <c r="H14" s="16">
        <f>Hist!H39</f>
        <v>307.22800000000001</v>
      </c>
      <c r="I14" s="16">
        <f>Hist!I39</f>
        <v>338.66899999999998</v>
      </c>
      <c r="J14" s="16">
        <f>Fixed_Assets!J22</f>
        <v>344.78725392124176</v>
      </c>
      <c r="K14" s="16">
        <f>Fixed_Assets!K22</f>
        <v>356.87917350645665</v>
      </c>
      <c r="L14" s="16">
        <f>Fixed_Assets!L22</f>
        <v>371.61816282804807</v>
      </c>
      <c r="M14" s="16">
        <f>Fixed_Assets!M22</f>
        <v>386.97510945844209</v>
      </c>
      <c r="N14" s="16">
        <f>Fixed_Assets!N22</f>
        <v>402.02460367720948</v>
      </c>
      <c r="O14" s="16">
        <f>Fixed_Assets!O22</f>
        <v>416.90420311418598</v>
      </c>
      <c r="P14" s="16">
        <f>Fixed_Assets!P22</f>
        <v>431.5037696703065</v>
      </c>
      <c r="Q14" s="16">
        <f>Fixed_Assets!Q22</f>
        <v>445.71299986130975</v>
      </c>
      <c r="R14" s="16">
        <f>Fixed_Assets!R22</f>
        <v>459.42406255225325</v>
      </c>
      <c r="S14" s="16">
        <f>Fixed_Assets!S22</f>
        <v>472.53450391545113</v>
      </c>
    </row>
    <row r="15" spans="2:19" x14ac:dyDescent="0.2">
      <c r="B15" t="s">
        <v>325</v>
      </c>
      <c r="E15" s="16">
        <f>Hist!E40</f>
        <v>1.6</v>
      </c>
      <c r="F15" s="16">
        <f>Hist!F40</f>
        <v>714.81399999999996</v>
      </c>
      <c r="G15" s="16">
        <f>Hist!G40</f>
        <v>711.58799999999997</v>
      </c>
      <c r="H15" s="16">
        <f>Hist!H40</f>
        <v>711.49099999999999</v>
      </c>
      <c r="I15" s="16">
        <f>Hist!I40</f>
        <v>404.68900000000002</v>
      </c>
      <c r="J15" s="16">
        <f>Fixed_Assets!J19</f>
        <v>404.68900000000002</v>
      </c>
      <c r="K15" s="16">
        <f>Fixed_Assets!K19</f>
        <v>404.68900000000002</v>
      </c>
      <c r="L15" s="16">
        <f>Fixed_Assets!L19</f>
        <v>404.68900000000002</v>
      </c>
      <c r="M15" s="16">
        <f>Fixed_Assets!M19</f>
        <v>404.68900000000002</v>
      </c>
      <c r="N15" s="16">
        <f>Fixed_Assets!N19</f>
        <v>404.68900000000002</v>
      </c>
      <c r="O15" s="16">
        <f>Fixed_Assets!O19</f>
        <v>404.68900000000002</v>
      </c>
      <c r="P15" s="16">
        <f>Fixed_Assets!P19</f>
        <v>404.68900000000002</v>
      </c>
      <c r="Q15" s="16">
        <f>Fixed_Assets!Q19</f>
        <v>404.68900000000002</v>
      </c>
      <c r="R15" s="16">
        <f>Fixed_Assets!R19</f>
        <v>404.68900000000002</v>
      </c>
      <c r="S15" s="16">
        <f>Fixed_Assets!S19</f>
        <v>404.68900000000002</v>
      </c>
    </row>
    <row r="16" spans="2:19" x14ac:dyDescent="0.2">
      <c r="B16" t="s">
        <v>326</v>
      </c>
      <c r="E16" s="16">
        <f>Hist!E41</f>
        <v>28.802</v>
      </c>
      <c r="F16" s="16">
        <f>Hist!F41</f>
        <v>1800.1669999999999</v>
      </c>
      <c r="G16" s="16">
        <f>Hist!G41</f>
        <v>1792.5619999999999</v>
      </c>
      <c r="H16" s="16">
        <f>Hist!H41</f>
        <v>1777.08</v>
      </c>
      <c r="I16" s="16">
        <f>Hist!I41</f>
        <v>1324.68</v>
      </c>
      <c r="J16" s="16">
        <f>Fixed_Assets!J18</f>
        <v>1302.18</v>
      </c>
      <c r="K16" s="16">
        <f>Fixed_Assets!K18</f>
        <v>1281.78</v>
      </c>
      <c r="L16" s="16">
        <f>Fixed_Assets!L18</f>
        <v>1263.28</v>
      </c>
      <c r="M16" s="16">
        <f>Fixed_Assets!M18</f>
        <v>1246.5800000000002</v>
      </c>
      <c r="N16" s="16">
        <f>Fixed_Assets!N18</f>
        <v>1231.68</v>
      </c>
      <c r="O16" s="16">
        <f>Fixed_Assets!O18</f>
        <v>1216.98</v>
      </c>
      <c r="P16" s="16">
        <f>Fixed_Assets!P18</f>
        <v>1202.28</v>
      </c>
      <c r="Q16" s="16">
        <f>Fixed_Assets!Q18</f>
        <v>1187.58</v>
      </c>
      <c r="R16" s="16">
        <f>Fixed_Assets!R18</f>
        <v>1172.8800000000001</v>
      </c>
      <c r="S16" s="16">
        <f>Fixed_Assets!S18</f>
        <v>1158.18</v>
      </c>
    </row>
    <row r="17" spans="2:19" x14ac:dyDescent="0.2">
      <c r="B17" t="s">
        <v>327</v>
      </c>
      <c r="E17" s="16">
        <f>Hist!E43</f>
        <v>567.20100000000002</v>
      </c>
      <c r="F17" s="16">
        <f>Hist!F43</f>
        <v>528.27800000000002</v>
      </c>
      <c r="G17" s="16">
        <f>Hist!G43</f>
        <v>667.97199999999998</v>
      </c>
      <c r="H17" s="16">
        <f>Hist!H43</f>
        <v>872.35</v>
      </c>
      <c r="I17" s="16">
        <f>Hist!I43</f>
        <v>935.05399999999997</v>
      </c>
      <c r="J17" s="16">
        <f ca="1">Tax!J15</f>
        <v>893.70441362484519</v>
      </c>
      <c r="K17" s="16">
        <f ca="1">Tax!K15</f>
        <v>857.81571192649665</v>
      </c>
      <c r="L17" s="16">
        <f ca="1">Tax!L15</f>
        <v>819.15292774351235</v>
      </c>
      <c r="M17" s="16">
        <f ca="1">Tax!M15</f>
        <v>777.9223645081704</v>
      </c>
      <c r="N17" s="16">
        <f ca="1">Tax!N15</f>
        <v>734.56790817030719</v>
      </c>
      <c r="O17" s="16">
        <f ca="1">Tax!O15</f>
        <v>689.64407113134712</v>
      </c>
      <c r="P17" s="16">
        <f ca="1">Tax!P15</f>
        <v>643.14861099143945</v>
      </c>
      <c r="Q17" s="16">
        <f ca="1">Tax!Q15</f>
        <v>595.02081468845836</v>
      </c>
      <c r="R17" s="16">
        <f ca="1">Tax!R15</f>
        <v>545.32740393753966</v>
      </c>
      <c r="S17" s="16">
        <f ca="1">Tax!S15</f>
        <v>494.14812416856222</v>
      </c>
    </row>
    <row r="18" spans="2:19" x14ac:dyDescent="0.2">
      <c r="B18" t="s">
        <v>328</v>
      </c>
      <c r="E18" s="16">
        <f>Hist!E44</f>
        <v>11.73</v>
      </c>
      <c r="F18" s="16">
        <f>Hist!F44</f>
        <v>11.129</v>
      </c>
      <c r="G18" s="16">
        <f>Hist!G44</f>
        <v>35.253</v>
      </c>
      <c r="H18" s="16">
        <f>Hist!H44</f>
        <v>27.4</v>
      </c>
      <c r="I18" s="16">
        <f>Hist!I44</f>
        <v>47.584000000000003</v>
      </c>
      <c r="J18" s="21">
        <f t="shared" ref="J18:S18" si="1">I18</f>
        <v>47.584000000000003</v>
      </c>
      <c r="K18" s="21">
        <f t="shared" si="1"/>
        <v>47.584000000000003</v>
      </c>
      <c r="L18" s="21">
        <f t="shared" si="1"/>
        <v>47.584000000000003</v>
      </c>
      <c r="M18" s="21">
        <f t="shared" si="1"/>
        <v>47.584000000000003</v>
      </c>
      <c r="N18" s="21">
        <f t="shared" si="1"/>
        <v>47.584000000000003</v>
      </c>
      <c r="O18" s="21">
        <f t="shared" si="1"/>
        <v>47.584000000000003</v>
      </c>
      <c r="P18" s="21">
        <f t="shared" si="1"/>
        <v>47.584000000000003</v>
      </c>
      <c r="Q18" s="21">
        <f t="shared" si="1"/>
        <v>47.584000000000003</v>
      </c>
      <c r="R18" s="21">
        <f t="shared" si="1"/>
        <v>47.584000000000003</v>
      </c>
      <c r="S18" s="21">
        <f t="shared" si="1"/>
        <v>47.584000000000003</v>
      </c>
    </row>
    <row r="19" spans="2:19" x14ac:dyDescent="0.2">
      <c r="B19" s="1" t="s">
        <v>329</v>
      </c>
      <c r="E19" s="42">
        <f t="shared" ref="E19:S19" si="2">E12+E13+E14+E15+E16+E17+E18</f>
        <v>1545.0680000000002</v>
      </c>
      <c r="F19" s="42">
        <f t="shared" si="2"/>
        <v>4501.7969999999996</v>
      </c>
      <c r="G19" s="42">
        <f t="shared" si="2"/>
        <v>4643.8339999999998</v>
      </c>
      <c r="H19" s="42">
        <f t="shared" si="2"/>
        <v>4812.1530000000002</v>
      </c>
      <c r="I19" s="42">
        <f t="shared" si="2"/>
        <v>4174.75</v>
      </c>
      <c r="J19" s="42">
        <f t="shared" ca="1" si="2"/>
        <v>4163.6110359029362</v>
      </c>
      <c r="K19" s="42">
        <f t="shared" ca="1" si="2"/>
        <v>4153.4370714361794</v>
      </c>
      <c r="L19" s="42">
        <f t="shared" ca="1" si="2"/>
        <v>4151.144910295201</v>
      </c>
      <c r="M19" s="42">
        <f t="shared" ca="1" si="2"/>
        <v>4220.9966690421716</v>
      </c>
      <c r="N19" s="42">
        <f t="shared" ca="1" si="2"/>
        <v>4152.3017606998774</v>
      </c>
      <c r="O19" s="42">
        <f t="shared" ca="1" si="2"/>
        <v>4150.6976522957912</v>
      </c>
      <c r="P19" s="42">
        <f t="shared" ca="1" si="2"/>
        <v>4146.7447854508946</v>
      </c>
      <c r="Q19" s="42">
        <f t="shared" ca="1" si="2"/>
        <v>4139.9560877071244</v>
      </c>
      <c r="R19" s="42">
        <f t="shared" ca="1" si="2"/>
        <v>4129.9794540235534</v>
      </c>
      <c r="S19" s="42">
        <f t="shared" ca="1" si="2"/>
        <v>4116.4933198590652</v>
      </c>
    </row>
    <row r="20" spans="2:19" x14ac:dyDescent="0.2">
      <c r="B20" s="3" t="s">
        <v>330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2:19" x14ac:dyDescent="0.2">
      <c r="B21" t="s">
        <v>331</v>
      </c>
      <c r="E21" s="16">
        <f>Hist!E46</f>
        <v>162.14500000000001</v>
      </c>
      <c r="F21" s="16">
        <f>Hist!F46</f>
        <v>230.821</v>
      </c>
      <c r="G21" s="16">
        <f>Hist!G46</f>
        <v>260.97800000000001</v>
      </c>
      <c r="H21" s="16">
        <f>Hist!H46</f>
        <v>264.90100000000001</v>
      </c>
      <c r="I21" s="16">
        <f>Hist!I46</f>
        <v>266.08999999999997</v>
      </c>
      <c r="J21" s="16">
        <f>NWC!J14</f>
        <v>270.56383668821923</v>
      </c>
      <c r="K21" s="16">
        <f>NWC!K14</f>
        <v>278.22248314357813</v>
      </c>
      <c r="L21" s="16">
        <f>NWC!L14</f>
        <v>288.01979305203827</v>
      </c>
      <c r="M21" s="16">
        <f>NWC!M14</f>
        <v>299.56312158626162</v>
      </c>
      <c r="N21" s="16">
        <f>NWC!N14</f>
        <v>310.95629104908318</v>
      </c>
      <c r="O21" s="16">
        <f>NWC!O14</f>
        <v>322.23730308525489</v>
      </c>
      <c r="P21" s="16">
        <f>NWC!P14</f>
        <v>333.32635499709994</v>
      </c>
      <c r="Q21" s="16">
        <f>NWC!Q14</f>
        <v>344.14355154399453</v>
      </c>
      <c r="R21" s="16">
        <f>NWC!R14</f>
        <v>354.61080778179866</v>
      </c>
      <c r="S21" s="16">
        <f>NWC!S14</f>
        <v>364.65399865632548</v>
      </c>
    </row>
    <row r="22" spans="2:19" x14ac:dyDescent="0.2">
      <c r="B22" t="s">
        <v>332</v>
      </c>
      <c r="E22" s="16">
        <f>Hist!E47</f>
        <v>166.887</v>
      </c>
      <c r="F22" s="16">
        <f>Hist!F47</f>
        <v>239.42400000000001</v>
      </c>
      <c r="G22" s="16">
        <f>Hist!G47</f>
        <v>285.77100000000002</v>
      </c>
      <c r="H22" s="16">
        <f>Hist!H47</f>
        <v>298.06799999999998</v>
      </c>
      <c r="I22" s="16">
        <f>Hist!I47</f>
        <v>300.959</v>
      </c>
      <c r="J22" s="16">
        <f>NWC!J16</f>
        <v>303.69792325999998</v>
      </c>
      <c r="K22" s="16">
        <f>NWC!K16</f>
        <v>314.34881253880002</v>
      </c>
      <c r="L22" s="16">
        <f>NWC!L16</f>
        <v>327.33131231804396</v>
      </c>
      <c r="M22" s="16">
        <f>NWC!M16</f>
        <v>340.85812558107324</v>
      </c>
      <c r="N22" s="16">
        <f>NWC!N16</f>
        <v>354.11412645805774</v>
      </c>
      <c r="O22" s="16">
        <f>NWC!O16</f>
        <v>367.22047942371182</v>
      </c>
      <c r="P22" s="16">
        <f>NWC!P16</f>
        <v>380.08017186641098</v>
      </c>
      <c r="Q22" s="16">
        <f>NWC!Q16</f>
        <v>392.59604549878344</v>
      </c>
      <c r="R22" s="16">
        <f>NWC!R16</f>
        <v>404.67311974549659</v>
      </c>
      <c r="S22" s="16">
        <f>NWC!S16</f>
        <v>416.22115050864869</v>
      </c>
    </row>
    <row r="23" spans="2:19" x14ac:dyDescent="0.2">
      <c r="B23" t="s">
        <v>333</v>
      </c>
      <c r="E23" s="16">
        <f>Hist!E48</f>
        <v>16.279</v>
      </c>
      <c r="F23" s="16">
        <f>Hist!F48</f>
        <v>89.210999999999999</v>
      </c>
      <c r="G23" s="16">
        <f>Hist!G48</f>
        <v>65.951999999999998</v>
      </c>
      <c r="H23" s="16">
        <f>Hist!H48</f>
        <v>108.688</v>
      </c>
      <c r="I23" s="16">
        <f>Hist!I48</f>
        <v>47.308</v>
      </c>
      <c r="J23" s="16">
        <f>NWC!J17</f>
        <v>47.308</v>
      </c>
      <c r="K23" s="16">
        <f>NWC!K17</f>
        <v>47.308</v>
      </c>
      <c r="L23" s="16">
        <f>NWC!L17</f>
        <v>47.308</v>
      </c>
      <c r="M23" s="16">
        <f>NWC!M17</f>
        <v>47.308</v>
      </c>
      <c r="N23" s="16">
        <f>NWC!N17</f>
        <v>47.308</v>
      </c>
      <c r="O23" s="16">
        <f>NWC!O17</f>
        <v>47.308</v>
      </c>
      <c r="P23" s="16">
        <f>NWC!P17</f>
        <v>47.308</v>
      </c>
      <c r="Q23" s="16">
        <f>NWC!Q17</f>
        <v>47.308</v>
      </c>
      <c r="R23" s="16">
        <f>NWC!R17</f>
        <v>47.308</v>
      </c>
      <c r="S23" s="16">
        <f>NWC!S17</f>
        <v>47.308</v>
      </c>
    </row>
    <row r="24" spans="2:19" x14ac:dyDescent="0.2">
      <c r="B24" t="s">
        <v>334</v>
      </c>
      <c r="E24" s="16">
        <f>Hist!E49</f>
        <v>42.932000000000002</v>
      </c>
      <c r="F24" s="16">
        <f>Hist!F49</f>
        <v>57.456000000000003</v>
      </c>
      <c r="G24" s="16">
        <f>Hist!G49</f>
        <v>62.267000000000003</v>
      </c>
      <c r="H24" s="16">
        <f>Hist!H49</f>
        <v>68.551000000000002</v>
      </c>
      <c r="I24" s="16">
        <f>Hist!I49</f>
        <v>85.772000000000006</v>
      </c>
      <c r="J24" s="16">
        <f>Fixed_Assets!J23</f>
        <v>87.321521436366339</v>
      </c>
      <c r="K24" s="16">
        <f>Fixed_Assets!K23</f>
        <v>90.383945592882128</v>
      </c>
      <c r="L24" s="16">
        <f>Fixed_Assets!L23</f>
        <v>94.116772016592449</v>
      </c>
      <c r="M24" s="16">
        <f>Fixed_Assets!M23</f>
        <v>98.00610356563341</v>
      </c>
      <c r="N24" s="16">
        <f>Fixed_Assets!N23</f>
        <v>101.81756909135945</v>
      </c>
      <c r="O24" s="16">
        <f>Fixed_Assets!O23</f>
        <v>105.58600671897918</v>
      </c>
      <c r="P24" s="16">
        <f>Fixed_Assets!P23</f>
        <v>109.2835226494351</v>
      </c>
      <c r="Q24" s="16">
        <f>Fixed_Assets!Q23</f>
        <v>112.88218119787835</v>
      </c>
      <c r="R24" s="16">
        <f>Fixed_Assets!R23</f>
        <v>116.35467283167893</v>
      </c>
      <c r="S24" s="16">
        <f>Fixed_Assets!S23</f>
        <v>119.6750498859833</v>
      </c>
    </row>
    <row r="25" spans="2:19" x14ac:dyDescent="0.2">
      <c r="B25" t="s">
        <v>335</v>
      </c>
      <c r="E25" s="16">
        <f>Hist!E50</f>
        <v>0</v>
      </c>
      <c r="F25" s="16">
        <f>Hist!F50</f>
        <v>24.361999999999998</v>
      </c>
      <c r="G25" s="16">
        <f>Hist!G50</f>
        <v>23.327999999999999</v>
      </c>
      <c r="H25" s="16">
        <f>Hist!H50</f>
        <v>0</v>
      </c>
      <c r="I25" s="16">
        <f>Hist!I50</f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</row>
    <row r="26" spans="2:19" x14ac:dyDescent="0.2">
      <c r="B26" t="s">
        <v>336</v>
      </c>
      <c r="E26" s="16">
        <f>Hist!E51</f>
        <v>0</v>
      </c>
      <c r="F26" s="16">
        <f>Hist!F51</f>
        <v>0</v>
      </c>
      <c r="G26" s="16">
        <f>Hist!G51</f>
        <v>0</v>
      </c>
      <c r="H26" s="16">
        <f>Hist!H51</f>
        <v>0</v>
      </c>
      <c r="I26" s="16">
        <f>Hist!I51</f>
        <v>0</v>
      </c>
      <c r="J26" s="16">
        <f>NWC!J18</f>
        <v>0</v>
      </c>
      <c r="K26" s="16">
        <f>NWC!K18</f>
        <v>0</v>
      </c>
      <c r="L26" s="16">
        <f>NWC!L18</f>
        <v>0</v>
      </c>
      <c r="M26" s="16">
        <f>NWC!M18</f>
        <v>0</v>
      </c>
      <c r="N26" s="16">
        <f>NWC!N18</f>
        <v>0</v>
      </c>
      <c r="O26" s="16">
        <f>NWC!O18</f>
        <v>0</v>
      </c>
      <c r="P26" s="16">
        <f>NWC!P18</f>
        <v>0</v>
      </c>
      <c r="Q26" s="16">
        <f>NWC!Q18</f>
        <v>0</v>
      </c>
      <c r="R26" s="16">
        <f>NWC!R18</f>
        <v>0</v>
      </c>
      <c r="S26" s="16">
        <f>NWC!S18</f>
        <v>0</v>
      </c>
    </row>
    <row r="27" spans="2:19" x14ac:dyDescent="0.2">
      <c r="B27" s="1" t="s">
        <v>337</v>
      </c>
      <c r="E27" s="42">
        <f t="shared" ref="E27:S27" si="3">E21+E22+E23+E24+E25+E26</f>
        <v>388.24300000000005</v>
      </c>
      <c r="F27" s="42">
        <f t="shared" si="3"/>
        <v>641.274</v>
      </c>
      <c r="G27" s="42">
        <f t="shared" si="3"/>
        <v>698.29600000000005</v>
      </c>
      <c r="H27" s="42">
        <f t="shared" si="3"/>
        <v>740.20800000000008</v>
      </c>
      <c r="I27" s="42">
        <f t="shared" si="3"/>
        <v>700.12900000000002</v>
      </c>
      <c r="J27" s="42">
        <f t="shared" si="3"/>
        <v>708.89128138458545</v>
      </c>
      <c r="K27" s="42">
        <f t="shared" si="3"/>
        <v>730.26324127526027</v>
      </c>
      <c r="L27" s="42">
        <f t="shared" si="3"/>
        <v>756.77587738667467</v>
      </c>
      <c r="M27" s="42">
        <f t="shared" si="3"/>
        <v>785.7353507329683</v>
      </c>
      <c r="N27" s="42">
        <f t="shared" si="3"/>
        <v>814.19598659850044</v>
      </c>
      <c r="O27" s="42">
        <f t="shared" si="3"/>
        <v>842.35178922794591</v>
      </c>
      <c r="P27" s="42">
        <f t="shared" si="3"/>
        <v>869.99804951294595</v>
      </c>
      <c r="Q27" s="42">
        <f t="shared" si="3"/>
        <v>896.92977824065633</v>
      </c>
      <c r="R27" s="42">
        <f t="shared" si="3"/>
        <v>922.94660035897414</v>
      </c>
      <c r="S27" s="42">
        <f t="shared" si="3"/>
        <v>947.85819905095741</v>
      </c>
    </row>
    <row r="28" spans="2:19" x14ac:dyDescent="0.2">
      <c r="B28" t="s">
        <v>338</v>
      </c>
      <c r="E28" s="16">
        <f>Hist!E53</f>
        <v>771.39</v>
      </c>
      <c r="F28" s="16">
        <f>Hist!F53</f>
        <v>2298.027</v>
      </c>
      <c r="G28" s="16">
        <f>Hist!G53</f>
        <v>1640.9960000000001</v>
      </c>
      <c r="H28" s="16">
        <f>Hist!H53</f>
        <v>1349.3389999999999</v>
      </c>
      <c r="I28" s="16">
        <f>Hist!I53</f>
        <v>1230.885</v>
      </c>
      <c r="J28" s="16">
        <f ca="1">Debt!J50</f>
        <v>1114.0037885634667</v>
      </c>
      <c r="K28" s="16">
        <f ca="1">Debt!K50</f>
        <v>965.16014164476326</v>
      </c>
      <c r="L28" s="16">
        <f ca="1">Debt!L50</f>
        <v>805.26543162514611</v>
      </c>
      <c r="M28" s="16">
        <f ca="1">Debt!M50</f>
        <v>700</v>
      </c>
      <c r="N28" s="16">
        <f ca="1">Debt!N50</f>
        <v>700</v>
      </c>
      <c r="O28" s="16">
        <f ca="1">Debt!O50</f>
        <v>700</v>
      </c>
      <c r="P28" s="16">
        <f ca="1">Debt!P50</f>
        <v>700</v>
      </c>
      <c r="Q28" s="16">
        <f ca="1">Debt!Q50</f>
        <v>700</v>
      </c>
      <c r="R28" s="16">
        <f ca="1">Debt!R50</f>
        <v>700</v>
      </c>
      <c r="S28" s="16">
        <f ca="1">Debt!S50</f>
        <v>700</v>
      </c>
    </row>
    <row r="29" spans="2:19" x14ac:dyDescent="0.2">
      <c r="B29" t="s">
        <v>339</v>
      </c>
      <c r="E29" s="16">
        <f>Hist!E54</f>
        <v>149.23699999999999</v>
      </c>
      <c r="F29" s="16">
        <f>Hist!F54</f>
        <v>215.119</v>
      </c>
      <c r="G29" s="16">
        <f>Hist!G54</f>
        <v>269.76900000000001</v>
      </c>
      <c r="H29" s="16">
        <f>Hist!H54</f>
        <v>283.40600000000001</v>
      </c>
      <c r="I29" s="16">
        <f>Hist!I54</f>
        <v>297.19200000000001</v>
      </c>
      <c r="J29" s="16">
        <f>Fixed_Assets!J24</f>
        <v>302.56094761363363</v>
      </c>
      <c r="K29" s="16">
        <f>Fixed_Assets!K24</f>
        <v>313.17196239611792</v>
      </c>
      <c r="L29" s="16">
        <f>Fixed_Assets!L24</f>
        <v>326.10585866197755</v>
      </c>
      <c r="M29" s="16">
        <f>Fixed_Assets!M24</f>
        <v>339.58203062628502</v>
      </c>
      <c r="N29" s="16">
        <f>Fixed_Assets!N24</f>
        <v>352.78840406425525</v>
      </c>
      <c r="O29" s="16">
        <f>Fixed_Assets!O24</f>
        <v>365.84568983848874</v>
      </c>
      <c r="P29" s="16">
        <f>Fixed_Assets!P24</f>
        <v>378.65723853041686</v>
      </c>
      <c r="Q29" s="16">
        <f>Fixed_Assets!Q24</f>
        <v>391.12625559110035</v>
      </c>
      <c r="R29" s="16">
        <f>Fixed_Assets!R24</f>
        <v>403.15811603078294</v>
      </c>
      <c r="S29" s="16">
        <f>Fixed_Assets!S24</f>
        <v>414.66291360484945</v>
      </c>
    </row>
    <row r="30" spans="2:19" x14ac:dyDescent="0.2">
      <c r="B30" t="s">
        <v>340</v>
      </c>
      <c r="E30" s="16">
        <f>Hist!E55</f>
        <v>219.56800000000001</v>
      </c>
      <c r="F30" s="16">
        <f>Hist!F55</f>
        <v>224.83699999999999</v>
      </c>
      <c r="G30" s="16">
        <f>Hist!G55</f>
        <v>565.17100000000005</v>
      </c>
      <c r="H30" s="16">
        <f>Hist!H55</f>
        <v>595.43399999999997</v>
      </c>
      <c r="I30" s="16">
        <f>Hist!I55</f>
        <v>649.05700000000002</v>
      </c>
      <c r="J30" s="21">
        <f t="shared" ref="J30:S30" si="4">I30</f>
        <v>649.05700000000002</v>
      </c>
      <c r="K30" s="21">
        <f t="shared" si="4"/>
        <v>649.05700000000002</v>
      </c>
      <c r="L30" s="21">
        <f t="shared" si="4"/>
        <v>649.05700000000002</v>
      </c>
      <c r="M30" s="21">
        <f t="shared" si="4"/>
        <v>649.05700000000002</v>
      </c>
      <c r="N30" s="21">
        <f t="shared" si="4"/>
        <v>649.05700000000002</v>
      </c>
      <c r="O30" s="21">
        <f t="shared" si="4"/>
        <v>649.05700000000002</v>
      </c>
      <c r="P30" s="21">
        <f t="shared" si="4"/>
        <v>649.05700000000002</v>
      </c>
      <c r="Q30" s="21">
        <f t="shared" si="4"/>
        <v>649.05700000000002</v>
      </c>
      <c r="R30" s="21">
        <f t="shared" si="4"/>
        <v>649.05700000000002</v>
      </c>
      <c r="S30" s="21">
        <f t="shared" si="4"/>
        <v>649.05700000000002</v>
      </c>
    </row>
    <row r="31" spans="2:19" x14ac:dyDescent="0.2">
      <c r="B31" t="s">
        <v>341</v>
      </c>
      <c r="E31" s="16">
        <f>Hist!E56</f>
        <v>0.17599999999999999</v>
      </c>
      <c r="F31" s="16">
        <f>Hist!F56</f>
        <v>302.02999999999997</v>
      </c>
      <c r="G31" s="16">
        <f>Hist!G56</f>
        <v>12.912000000000001</v>
      </c>
      <c r="H31" s="16">
        <f>Hist!H56</f>
        <v>4.0860000000000003</v>
      </c>
      <c r="I31" s="16">
        <f>Hist!I56</f>
        <v>0.88200000000000001</v>
      </c>
      <c r="J31" s="21">
        <f t="shared" ref="J31:S31" si="5">I31</f>
        <v>0.88200000000000001</v>
      </c>
      <c r="K31" s="21">
        <f t="shared" si="5"/>
        <v>0.88200000000000001</v>
      </c>
      <c r="L31" s="21">
        <f t="shared" si="5"/>
        <v>0.88200000000000001</v>
      </c>
      <c r="M31" s="21">
        <f t="shared" si="5"/>
        <v>0.88200000000000001</v>
      </c>
      <c r="N31" s="21">
        <f t="shared" si="5"/>
        <v>0.88200000000000001</v>
      </c>
      <c r="O31" s="21">
        <f t="shared" si="5"/>
        <v>0.88200000000000001</v>
      </c>
      <c r="P31" s="21">
        <f t="shared" si="5"/>
        <v>0.88200000000000001</v>
      </c>
      <c r="Q31" s="21">
        <f t="shared" si="5"/>
        <v>0.88200000000000001</v>
      </c>
      <c r="R31" s="21">
        <f t="shared" si="5"/>
        <v>0.88200000000000001</v>
      </c>
      <c r="S31" s="21">
        <f t="shared" si="5"/>
        <v>0.88200000000000001</v>
      </c>
    </row>
    <row r="32" spans="2:19" x14ac:dyDescent="0.2">
      <c r="B32" t="s">
        <v>342</v>
      </c>
      <c r="E32" s="16">
        <f>Hist!E57</f>
        <v>2.3719999999999999</v>
      </c>
      <c r="F32" s="16">
        <f>Hist!F57</f>
        <v>2.5790000000000002</v>
      </c>
      <c r="G32" s="16">
        <f>Hist!G57</f>
        <v>2.7669999999999999</v>
      </c>
      <c r="H32" s="16">
        <f>Hist!H57</f>
        <v>3.948</v>
      </c>
      <c r="I32" s="16">
        <f>Hist!I57</f>
        <v>3.3220000000000001</v>
      </c>
      <c r="J32" s="21">
        <f t="shared" ref="J32:S32" si="6">I32</f>
        <v>3.3220000000000001</v>
      </c>
      <c r="K32" s="21">
        <f t="shared" si="6"/>
        <v>3.3220000000000001</v>
      </c>
      <c r="L32" s="21">
        <f t="shared" si="6"/>
        <v>3.3220000000000001</v>
      </c>
      <c r="M32" s="21">
        <f t="shared" si="6"/>
        <v>3.3220000000000001</v>
      </c>
      <c r="N32" s="21">
        <f t="shared" si="6"/>
        <v>3.3220000000000001</v>
      </c>
      <c r="O32" s="21">
        <f t="shared" si="6"/>
        <v>3.3220000000000001</v>
      </c>
      <c r="P32" s="21">
        <f t="shared" si="6"/>
        <v>3.3220000000000001</v>
      </c>
      <c r="Q32" s="21">
        <f t="shared" si="6"/>
        <v>3.3220000000000001</v>
      </c>
      <c r="R32" s="21">
        <f t="shared" si="6"/>
        <v>3.3220000000000001</v>
      </c>
      <c r="S32" s="21">
        <f t="shared" si="6"/>
        <v>3.3220000000000001</v>
      </c>
    </row>
    <row r="33" spans="2:19" x14ac:dyDescent="0.2">
      <c r="B33" s="1" t="s">
        <v>343</v>
      </c>
      <c r="E33" s="42">
        <f t="shared" ref="E33:S33" si="7">E27+E28+E29+E30+E31+E32</f>
        <v>1530.9860000000001</v>
      </c>
      <c r="F33" s="42">
        <f t="shared" si="7"/>
        <v>3683.8660000000004</v>
      </c>
      <c r="G33" s="42">
        <f t="shared" si="7"/>
        <v>3189.9110000000005</v>
      </c>
      <c r="H33" s="42">
        <f t="shared" si="7"/>
        <v>2976.4209999999994</v>
      </c>
      <c r="I33" s="42">
        <f t="shared" si="7"/>
        <v>2881.4670000000001</v>
      </c>
      <c r="J33" s="42">
        <f t="shared" ca="1" si="7"/>
        <v>2778.7170175616861</v>
      </c>
      <c r="K33" s="42">
        <f t="shared" ca="1" si="7"/>
        <v>2661.8563453161419</v>
      </c>
      <c r="L33" s="42">
        <f t="shared" ca="1" si="7"/>
        <v>2541.4081676737983</v>
      </c>
      <c r="M33" s="42">
        <f t="shared" ca="1" si="7"/>
        <v>2478.5783813592539</v>
      </c>
      <c r="N33" s="42">
        <f t="shared" ca="1" si="7"/>
        <v>2520.2453906627557</v>
      </c>
      <c r="O33" s="42">
        <f t="shared" ca="1" si="7"/>
        <v>2561.4584790664353</v>
      </c>
      <c r="P33" s="42">
        <f t="shared" ca="1" si="7"/>
        <v>2601.9162880433628</v>
      </c>
      <c r="Q33" s="42">
        <f t="shared" ca="1" si="7"/>
        <v>2641.3170338317568</v>
      </c>
      <c r="R33" s="42">
        <f t="shared" ca="1" si="7"/>
        <v>2679.3657163897574</v>
      </c>
      <c r="S33" s="42">
        <f t="shared" ca="1" si="7"/>
        <v>2715.7821126558069</v>
      </c>
    </row>
    <row r="34" spans="2:19" x14ac:dyDescent="0.2">
      <c r="B34" s="3" t="s">
        <v>344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2:19" x14ac:dyDescent="0.2">
      <c r="B35" t="s">
        <v>345</v>
      </c>
      <c r="E35" s="16">
        <f>Hist!E59</f>
        <v>14.082000000000001</v>
      </c>
      <c r="F35" s="16">
        <f>Hist!F59</f>
        <v>817.93100000000004</v>
      </c>
      <c r="G35" s="16">
        <f>Hist!G59</f>
        <v>1453.923</v>
      </c>
      <c r="H35" s="16">
        <f>Hist!H59</f>
        <v>1835.732</v>
      </c>
      <c r="I35" s="16">
        <f>Hist!I59</f>
        <v>1293.2829999999999</v>
      </c>
      <c r="J35" s="16">
        <f ca="1">Equity!J12</f>
        <v>1384.8940183412501</v>
      </c>
      <c r="K35" s="16">
        <f ca="1">Equity!K12</f>
        <v>1491.5807261200355</v>
      </c>
      <c r="L35" s="16">
        <f ca="1">Equity!L12</f>
        <v>1609.7367426214059</v>
      </c>
      <c r="M35" s="16">
        <f ca="1">Equity!M12</f>
        <v>1742.4182876829182</v>
      </c>
      <c r="N35" s="16">
        <f ca="1">Equity!N12</f>
        <v>1632.0563700371215</v>
      </c>
      <c r="O35" s="16">
        <f ca="1">Equity!O12</f>
        <v>1589.2391732293563</v>
      </c>
      <c r="P35" s="16">
        <f ca="1">Equity!P12</f>
        <v>1544.8284974075307</v>
      </c>
      <c r="Q35" s="16">
        <f ca="1">Equity!Q12</f>
        <v>1498.6390538753676</v>
      </c>
      <c r="R35" s="16">
        <f ca="1">Equity!R12</f>
        <v>1450.6137376337733</v>
      </c>
      <c r="S35" s="16">
        <f ca="1">Equity!S12</f>
        <v>1400.7112071355311</v>
      </c>
    </row>
    <row r="36" spans="2:19" x14ac:dyDescent="0.2">
      <c r="B36" s="1" t="s">
        <v>346</v>
      </c>
      <c r="E36" s="42">
        <f t="shared" ref="E36:S36" si="8">E33+E35</f>
        <v>1545.0680000000002</v>
      </c>
      <c r="F36" s="42">
        <f t="shared" si="8"/>
        <v>4501.7970000000005</v>
      </c>
      <c r="G36" s="42">
        <f t="shared" si="8"/>
        <v>4643.8340000000007</v>
      </c>
      <c r="H36" s="42">
        <f t="shared" si="8"/>
        <v>4812.1529999999993</v>
      </c>
      <c r="I36" s="42">
        <f t="shared" si="8"/>
        <v>4174.75</v>
      </c>
      <c r="J36" s="42">
        <f t="shared" ca="1" si="8"/>
        <v>4163.6110359029362</v>
      </c>
      <c r="K36" s="42">
        <f t="shared" ca="1" si="8"/>
        <v>4153.4370714361776</v>
      </c>
      <c r="L36" s="42">
        <f t="shared" ca="1" si="8"/>
        <v>4151.1449102952047</v>
      </c>
      <c r="M36" s="42">
        <f t="shared" ca="1" si="8"/>
        <v>4220.9966690421716</v>
      </c>
      <c r="N36" s="42">
        <f t="shared" ca="1" si="8"/>
        <v>4152.3017606998774</v>
      </c>
      <c r="O36" s="42">
        <f t="shared" ca="1" si="8"/>
        <v>4150.6976522957921</v>
      </c>
      <c r="P36" s="42">
        <f t="shared" ca="1" si="8"/>
        <v>4146.7447854508937</v>
      </c>
      <c r="Q36" s="42">
        <f t="shared" ca="1" si="8"/>
        <v>4139.9560877071244</v>
      </c>
      <c r="R36" s="42">
        <f t="shared" ca="1" si="8"/>
        <v>4129.9794540235307</v>
      </c>
      <c r="S36" s="42">
        <f t="shared" ca="1" si="8"/>
        <v>4116.4933197913379</v>
      </c>
    </row>
    <row r="37" spans="2:19" x14ac:dyDescent="0.2">
      <c r="B37" s="3" t="s">
        <v>347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spans="2:19" x14ac:dyDescent="0.2">
      <c r="B38" s="17" t="s">
        <v>348</v>
      </c>
      <c r="E38" s="44">
        <f t="shared" ref="E38:S38" si="9">E25+E28-E7</f>
        <v>558.19299999999998</v>
      </c>
      <c r="F38" s="44">
        <f t="shared" si="9"/>
        <v>2130.7600000000002</v>
      </c>
      <c r="G38" s="44">
        <f t="shared" si="9"/>
        <v>1515.0360000000001</v>
      </c>
      <c r="H38" s="44">
        <f t="shared" si="9"/>
        <v>1168.8539999999998</v>
      </c>
      <c r="I38" s="44">
        <f t="shared" si="9"/>
        <v>1100.5309999999999</v>
      </c>
      <c r="J38" s="44">
        <f t="shared" ca="1" si="9"/>
        <v>964.0037885634672</v>
      </c>
      <c r="K38" s="44">
        <f t="shared" ca="1" si="9"/>
        <v>815.16014164476235</v>
      </c>
      <c r="L38" s="44">
        <f t="shared" ca="1" si="9"/>
        <v>655.26543162514793</v>
      </c>
      <c r="M38" s="44">
        <f t="shared" ca="1" si="9"/>
        <v>481.18789262421217</v>
      </c>
      <c r="N38" s="44">
        <f t="shared" ca="1" si="9"/>
        <v>550</v>
      </c>
      <c r="O38" s="44">
        <f t="shared" ca="1" si="9"/>
        <v>550</v>
      </c>
      <c r="P38" s="44">
        <f t="shared" ca="1" si="9"/>
        <v>549.99999999999989</v>
      </c>
      <c r="Q38" s="44">
        <f t="shared" ca="1" si="9"/>
        <v>549.99999999999989</v>
      </c>
      <c r="R38" s="44">
        <f t="shared" ca="1" si="9"/>
        <v>549.9999999999776</v>
      </c>
      <c r="S38" s="44">
        <f t="shared" ca="1" si="9"/>
        <v>549.99999993212089</v>
      </c>
    </row>
    <row r="39" spans="2:19" x14ac:dyDescent="0.2">
      <c r="B39" t="s">
        <v>349</v>
      </c>
      <c r="E39" s="45">
        <f t="shared" ref="E39:S39" si="10">ROUND(E19-E36,2)</f>
        <v>0</v>
      </c>
      <c r="F39" s="45">
        <f t="shared" si="10"/>
        <v>0</v>
      </c>
      <c r="G39" s="45">
        <f t="shared" si="10"/>
        <v>0</v>
      </c>
      <c r="H39" s="45">
        <f t="shared" si="10"/>
        <v>0</v>
      </c>
      <c r="I39" s="45">
        <f t="shared" si="10"/>
        <v>0</v>
      </c>
      <c r="J39" s="45">
        <f t="shared" ca="1" si="10"/>
        <v>0</v>
      </c>
      <c r="K39" s="45">
        <f t="shared" ca="1" si="10"/>
        <v>0</v>
      </c>
      <c r="L39" s="45">
        <f t="shared" ca="1" si="10"/>
        <v>0</v>
      </c>
      <c r="M39" s="45">
        <f t="shared" ca="1" si="10"/>
        <v>0</v>
      </c>
      <c r="N39" s="45">
        <f t="shared" ca="1" si="10"/>
        <v>0</v>
      </c>
      <c r="O39" s="45">
        <f t="shared" ca="1" si="10"/>
        <v>0</v>
      </c>
      <c r="P39" s="45">
        <f t="shared" ca="1" si="10"/>
        <v>0</v>
      </c>
      <c r="Q39" s="45">
        <f t="shared" ca="1" si="10"/>
        <v>0</v>
      </c>
      <c r="R39" s="45">
        <f t="shared" ca="1" si="10"/>
        <v>0</v>
      </c>
      <c r="S39" s="45">
        <f t="shared" ca="1" si="10"/>
        <v>0</v>
      </c>
    </row>
    <row r="40" spans="2:19" x14ac:dyDescent="0.2">
      <c r="B40" t="s">
        <v>350</v>
      </c>
      <c r="E40" s="45">
        <f ca="1">SUMPRODUCT(ABS($E$39:$S$39))</f>
        <v>0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S43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351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352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t="s">
        <v>292</v>
      </c>
      <c r="E7" s="16">
        <f>Hist!E63</f>
        <v>725.69399999999996</v>
      </c>
      <c r="F7" s="16">
        <f>Hist!F63</f>
        <v>540.15899999999999</v>
      </c>
      <c r="G7" s="16">
        <f>Hist!G63</f>
        <v>792.56600000000003</v>
      </c>
      <c r="H7" s="16">
        <f>Hist!H63</f>
        <v>950.07100000000003</v>
      </c>
      <c r="I7" s="16">
        <f>Hist!I63</f>
        <v>-81.197999999999993</v>
      </c>
      <c r="J7" s="16">
        <f ca="1">IS!J23</f>
        <v>636.78363017738388</v>
      </c>
      <c r="K7" s="16">
        <f ca="1">IS!K23</f>
        <v>699.82968311779632</v>
      </c>
      <c r="L7" s="16">
        <f ca="1">IS!L23</f>
        <v>753.92429156819446</v>
      </c>
      <c r="M7" s="16">
        <f ca="1">IS!M23</f>
        <v>803.99598308916541</v>
      </c>
      <c r="N7" s="16">
        <f ca="1">IS!N23</f>
        <v>845.41189858833366</v>
      </c>
      <c r="O7" s="16">
        <f ca="1">IS!O23</f>
        <v>876.01482225971927</v>
      </c>
      <c r="P7" s="16">
        <f ca="1">IS!P23</f>
        <v>906.66147272820285</v>
      </c>
      <c r="Q7" s="16">
        <f ca="1">IS!Q23</f>
        <v>938.49202790812706</v>
      </c>
      <c r="R7" s="16">
        <f ca="1">IS!R23</f>
        <v>969.02150964291832</v>
      </c>
      <c r="S7" s="16">
        <f ca="1">IS!S23</f>
        <v>997.99595549506478</v>
      </c>
    </row>
    <row r="8" spans="2:19" x14ac:dyDescent="0.2">
      <c r="B8" t="s">
        <v>301</v>
      </c>
      <c r="E8" s="16">
        <f>Hist!E64</f>
        <v>31.975999999999999</v>
      </c>
      <c r="F8" s="16">
        <f>Hist!F64</f>
        <v>39.228999999999999</v>
      </c>
      <c r="G8" s="16">
        <f>Hist!G64</f>
        <v>54.304000000000002</v>
      </c>
      <c r="H8" s="16">
        <f>Hist!H64</f>
        <v>69.84</v>
      </c>
      <c r="I8" s="16">
        <f>Hist!I64</f>
        <v>79.281999999999996</v>
      </c>
      <c r="J8" s="21">
        <f>Fixed_Assets!J9+Fixed_Assets!J15</f>
        <v>77.283929999999998</v>
      </c>
      <c r="K8" s="21">
        <f>Fixed_Assets!K9+Fixed_Assets!K15</f>
        <v>77.686441743199993</v>
      </c>
      <c r="L8" s="21">
        <f>Fixed_Assets!L9+Fixed_Assets!L15</f>
        <v>78.243041630680011</v>
      </c>
      <c r="M8" s="21">
        <f>Fixed_Assets!M9+Fixed_Assets!M15</f>
        <v>78.980239749277672</v>
      </c>
      <c r="N8" s="21">
        <f>Fixed_Assets!N9+Fixed_Assets!N15</f>
        <v>79.806567068272869</v>
      </c>
      <c r="O8" s="21">
        <f>Fixed_Assets!O9+Fixed_Assets!O15</f>
        <v>82.28805644480866</v>
      </c>
      <c r="P8" s="21">
        <f>Fixed_Assets!P9+Fixed_Assets!P15</f>
        <v>85.004578655465636</v>
      </c>
      <c r="Q8" s="21">
        <f>Fixed_Assets!Q9+Fixed_Assets!Q15</f>
        <v>87.735809787254382</v>
      </c>
      <c r="R8" s="21">
        <f>Fixed_Assets!R9+Fixed_Assets!R15</f>
        <v>90.461268771801045</v>
      </c>
      <c r="S8" s="21">
        <f>Fixed_Assets!S9+Fixed_Assets!S15</f>
        <v>93.160461828116908</v>
      </c>
    </row>
    <row r="9" spans="2:19" x14ac:dyDescent="0.2">
      <c r="B9" t="s">
        <v>353</v>
      </c>
      <c r="J9" s="16">
        <f>Debt!J48</f>
        <v>9</v>
      </c>
      <c r="K9" s="16">
        <f>Debt!K48</f>
        <v>9</v>
      </c>
      <c r="L9" s="16">
        <f>Debt!L48</f>
        <v>9</v>
      </c>
      <c r="M9" s="16">
        <f>Debt!M48</f>
        <v>4.1149999999999984</v>
      </c>
      <c r="N9" s="16">
        <f>Debt!N48</f>
        <v>0</v>
      </c>
      <c r="O9" s="16">
        <f>Debt!O48</f>
        <v>0</v>
      </c>
      <c r="P9" s="16">
        <f>Debt!P48</f>
        <v>0</v>
      </c>
      <c r="Q9" s="16">
        <f>Debt!Q48</f>
        <v>0</v>
      </c>
      <c r="R9" s="16">
        <f>Debt!R48</f>
        <v>0</v>
      </c>
      <c r="S9" s="16">
        <f>Debt!S48</f>
        <v>0</v>
      </c>
    </row>
    <row r="10" spans="2:19" x14ac:dyDescent="0.2">
      <c r="B10" t="s">
        <v>354</v>
      </c>
      <c r="E10" s="16">
        <f>Hist!E65</f>
        <v>38.122</v>
      </c>
      <c r="F10" s="16">
        <f>Hist!F65</f>
        <v>31.303000000000001</v>
      </c>
      <c r="G10" s="16">
        <f>Hist!G65</f>
        <v>29.071999999999999</v>
      </c>
      <c r="H10" s="16">
        <f>Hist!H65</f>
        <v>33.052999999999997</v>
      </c>
      <c r="I10" s="16">
        <f>Hist!I65</f>
        <v>36.701000000000001</v>
      </c>
      <c r="J10" s="16">
        <f>Equity!J9</f>
        <v>36.936233909999999</v>
      </c>
      <c r="K10" s="16">
        <f>Equity!K9</f>
        <v>38.231612335800001</v>
      </c>
      <c r="L10" s="16">
        <f>Equity!L9</f>
        <v>39.810565011653992</v>
      </c>
      <c r="M10" s="16">
        <f>Equity!M9</f>
        <v>41.455717976076478</v>
      </c>
      <c r="N10" s="16">
        <f>Equity!N9</f>
        <v>43.067934298952963</v>
      </c>
      <c r="O10" s="16">
        <f>Equity!O9</f>
        <v>44.661950200181167</v>
      </c>
      <c r="P10" s="16">
        <f>Equity!P9</f>
        <v>46.225966848617553</v>
      </c>
      <c r="Q10" s="16">
        <f>Equity!Q9</f>
        <v>47.748167695797981</v>
      </c>
      <c r="R10" s="16">
        <f>Equity!R9</f>
        <v>49.217001050127962</v>
      </c>
      <c r="S10" s="16">
        <f>Equity!S9</f>
        <v>50.621491278078892</v>
      </c>
    </row>
    <row r="11" spans="2:19" x14ac:dyDescent="0.2">
      <c r="B11" t="s">
        <v>283</v>
      </c>
      <c r="E11" s="16">
        <f>Hist!E66</f>
        <v>0</v>
      </c>
      <c r="F11" s="16">
        <f>Hist!F66</f>
        <v>0</v>
      </c>
      <c r="G11" s="16">
        <f>Hist!G66</f>
        <v>9.2870000000000008</v>
      </c>
      <c r="H11" s="16">
        <f>Hist!H66</f>
        <v>24.081</v>
      </c>
      <c r="I11" s="16">
        <f>Hist!I66</f>
        <v>738.11500000000001</v>
      </c>
      <c r="J11" s="16">
        <f>IS!J14</f>
        <v>0</v>
      </c>
      <c r="K11" s="16">
        <f>IS!K14</f>
        <v>0</v>
      </c>
      <c r="L11" s="16">
        <f>IS!L14</f>
        <v>0</v>
      </c>
      <c r="M11" s="16">
        <f>IS!M14</f>
        <v>0</v>
      </c>
      <c r="N11" s="16">
        <f>IS!N14</f>
        <v>0</v>
      </c>
      <c r="O11" s="16">
        <f>IS!O14</f>
        <v>0</v>
      </c>
      <c r="P11" s="16">
        <f>IS!P14</f>
        <v>0</v>
      </c>
      <c r="Q11" s="16">
        <f>IS!Q14</f>
        <v>0</v>
      </c>
      <c r="R11" s="16">
        <f>IS!R14</f>
        <v>0</v>
      </c>
      <c r="S11" s="16">
        <f>IS!S14</f>
        <v>0</v>
      </c>
    </row>
    <row r="12" spans="2:19" x14ac:dyDescent="0.2">
      <c r="B12" t="s">
        <v>355</v>
      </c>
      <c r="E12" s="16">
        <f>Hist!E67</f>
        <v>-241.28299999999999</v>
      </c>
      <c r="F12" s="16">
        <f>Hist!F67</f>
        <v>-4.76</v>
      </c>
      <c r="G12" s="16">
        <f>Hist!G67</f>
        <v>-410.31900000000002</v>
      </c>
      <c r="H12" s="16">
        <f>Hist!H67</f>
        <v>-254.45400000000001</v>
      </c>
      <c r="I12" s="16">
        <f>Hist!I67</f>
        <v>47.093000000000004</v>
      </c>
      <c r="J12" s="16">
        <f ca="1">Tax!J11</f>
        <v>41.349586375154814</v>
      </c>
      <c r="K12" s="16">
        <f ca="1">Tax!K11</f>
        <v>35.888701698348513</v>
      </c>
      <c r="L12" s="16">
        <f ca="1">Tax!L11</f>
        <v>38.662784182984325</v>
      </c>
      <c r="M12" s="16">
        <f ca="1">Tax!M11</f>
        <v>41.230563235341833</v>
      </c>
      <c r="N12" s="16">
        <f ca="1">Tax!N11</f>
        <v>43.354456337863297</v>
      </c>
      <c r="O12" s="16">
        <f ca="1">Tax!O11</f>
        <v>44.923837038959988</v>
      </c>
      <c r="P12" s="16">
        <f ca="1">Tax!P11</f>
        <v>46.495460139907834</v>
      </c>
      <c r="Q12" s="16">
        <f ca="1">Tax!Q11</f>
        <v>48.127796302980897</v>
      </c>
      <c r="R12" s="16">
        <f ca="1">Tax!R11</f>
        <v>49.693410750918929</v>
      </c>
      <c r="S12" s="16">
        <f ca="1">Tax!S11</f>
        <v>51.17927976897721</v>
      </c>
    </row>
    <row r="13" spans="2:19" x14ac:dyDescent="0.2">
      <c r="B13" t="s">
        <v>356</v>
      </c>
      <c r="J13" s="21">
        <f>NWC!I7-NWC!J7</f>
        <v>-2.9066705479452253</v>
      </c>
      <c r="K13" s="21">
        <f>NWC!J7-NWC!K7</f>
        <v>-9.8582833013699087</v>
      </c>
      <c r="L13" s="21">
        <f>NWC!K7-NWC!L7</f>
        <v>-12.016382616849228</v>
      </c>
      <c r="M13" s="21">
        <f>NWC!L7-NWC!M7</f>
        <v>-12.52018998799457</v>
      </c>
      <c r="N13" s="21">
        <f>NWC!M7-NWC!N7</f>
        <v>-12.269530615498411</v>
      </c>
      <c r="O13" s="21">
        <f>NWC!N7-NWC!O7</f>
        <v>-12.131019035222209</v>
      </c>
      <c r="P13" s="21">
        <f>NWC!O7-NWC!P7</f>
        <v>-11.902714219454992</v>
      </c>
      <c r="Q13" s="21">
        <f>NWC!P7-NWC!Q7</f>
        <v>-11.584481333184385</v>
      </c>
      <c r="R13" s="21">
        <f>NWC!Q7-NWC!R7</f>
        <v>-11.178336029908564</v>
      </c>
      <c r="S13" s="21">
        <f>NWC!R7-NWC!S7</f>
        <v>-10.688662313172927</v>
      </c>
    </row>
    <row r="14" spans="2:19" x14ac:dyDescent="0.2">
      <c r="B14" t="s">
        <v>357</v>
      </c>
      <c r="J14" s="21">
        <f>NWC!I9-NWC!J9</f>
        <v>-11.05171815890418</v>
      </c>
      <c r="K14" s="21">
        <f>NWC!J9-NWC!K9</f>
        <v>-10.748977481205429</v>
      </c>
      <c r="L14" s="21">
        <f>NWC!K9-NWC!L9</f>
        <v>-13.750610397838841</v>
      </c>
      <c r="M14" s="21">
        <f>NWC!L9-NWC!M9</f>
        <v>-16.201162855050313</v>
      </c>
      <c r="N14" s="21">
        <f>NWC!M9-NWC!N9</f>
        <v>-15.99041328115311</v>
      </c>
      <c r="O14" s="21">
        <f>NWC!N9-NWC!O9</f>
        <v>-15.83299934901288</v>
      </c>
      <c r="P14" s="21">
        <f>NWC!O9-NWC!P9</f>
        <v>-15.563581630659769</v>
      </c>
      <c r="Q14" s="21">
        <f>NWC!P9-NWC!Q9</f>
        <v>-15.182030241255575</v>
      </c>
      <c r="R14" s="21">
        <f>NWC!Q9-NWC!R9</f>
        <v>-14.690885947795152</v>
      </c>
      <c r="S14" s="21">
        <f>NWC!R9-NWC!S9</f>
        <v>-14.095706490563941</v>
      </c>
    </row>
    <row r="15" spans="2:19" x14ac:dyDescent="0.2">
      <c r="B15" t="s">
        <v>358</v>
      </c>
      <c r="J15" s="21">
        <f>NWC!I11-NWC!J11</f>
        <v>-2.107493809999994</v>
      </c>
      <c r="K15" s="21">
        <f>NWC!J11-NWC!K11</f>
        <v>-2.7346877878000129</v>
      </c>
      <c r="L15" s="21">
        <f>NWC!K11-NWC!L11</f>
        <v>-3.3333445379139874</v>
      </c>
      <c r="M15" s="21">
        <f>NWC!L11-NWC!M11</f>
        <v>-3.473100702669683</v>
      </c>
      <c r="N15" s="21">
        <f>NWC!M11-NWC!N11</f>
        <v>-3.4035677927392527</v>
      </c>
      <c r="O15" s="21">
        <f>NWC!N11-NWC!O11</f>
        <v>-3.3651446803706477</v>
      </c>
      <c r="P15" s="21">
        <f>NWC!O11-NWC!P11</f>
        <v>-3.3018129244768062</v>
      </c>
      <c r="Q15" s="21">
        <f>NWC!P11-NWC!Q11</f>
        <v>-3.2135351218253589</v>
      </c>
      <c r="R15" s="21">
        <f>NWC!Q11-NWC!R11</f>
        <v>-3.1008704146966295</v>
      </c>
      <c r="S15" s="21">
        <f>NWC!R11-NWC!S11</f>
        <v>-2.965034925674189</v>
      </c>
    </row>
    <row r="16" spans="2:19" x14ac:dyDescent="0.2">
      <c r="B16" t="s">
        <v>359</v>
      </c>
      <c r="J16" s="21">
        <f>NWC!J14-NWC!I14</f>
        <v>4.4738366882192508</v>
      </c>
      <c r="K16" s="21">
        <f>NWC!K14-NWC!J14</f>
        <v>7.6586464553589053</v>
      </c>
      <c r="L16" s="21">
        <f>NWC!L14-NWC!K14</f>
        <v>9.7973099084601358</v>
      </c>
      <c r="M16" s="21">
        <f>NWC!M14-NWC!L14</f>
        <v>11.543328534223349</v>
      </c>
      <c r="N16" s="21">
        <f>NWC!N14-NWC!M14</f>
        <v>11.393169462821561</v>
      </c>
      <c r="O16" s="21">
        <f>NWC!O14-NWC!N14</f>
        <v>11.281012036171717</v>
      </c>
      <c r="P16" s="21">
        <f>NWC!P14-NWC!O14</f>
        <v>11.089051911845047</v>
      </c>
      <c r="Q16" s="21">
        <f>NWC!Q14-NWC!P14</f>
        <v>10.817196546894593</v>
      </c>
      <c r="R16" s="21">
        <f>NWC!R14-NWC!Q14</f>
        <v>10.467256237804122</v>
      </c>
      <c r="S16" s="21">
        <f>NWC!S14-NWC!R14</f>
        <v>10.043190874526829</v>
      </c>
    </row>
    <row r="17" spans="2:19" x14ac:dyDescent="0.2">
      <c r="B17" t="s">
        <v>360</v>
      </c>
      <c r="J17" s="21">
        <f>NWC!J16-NWC!I16</f>
        <v>2.7389232599999787</v>
      </c>
      <c r="K17" s="21">
        <f>NWC!K16-NWC!J16</f>
        <v>10.650889278800037</v>
      </c>
      <c r="L17" s="21">
        <f>NWC!L16-NWC!K16</f>
        <v>12.982499779243938</v>
      </c>
      <c r="M17" s="21">
        <f>NWC!M16-NWC!L16</f>
        <v>13.526813263029283</v>
      </c>
      <c r="N17" s="21">
        <f>NWC!N16-NWC!M16</f>
        <v>13.256000876984501</v>
      </c>
      <c r="O17" s="21">
        <f>NWC!O16-NWC!N16</f>
        <v>13.106352965654082</v>
      </c>
      <c r="P17" s="21">
        <f>NWC!P16-NWC!O16</f>
        <v>12.859692442699156</v>
      </c>
      <c r="Q17" s="21">
        <f>NWC!Q16-NWC!P16</f>
        <v>12.515873632372461</v>
      </c>
      <c r="R17" s="21">
        <f>NWC!R16-NWC!Q16</f>
        <v>12.077074246713153</v>
      </c>
      <c r="S17" s="21">
        <f>NWC!S16-NWC!R16</f>
        <v>11.548030763152099</v>
      </c>
    </row>
    <row r="18" spans="2:19" x14ac:dyDescent="0.2">
      <c r="B18" t="s">
        <v>361</v>
      </c>
      <c r="J18" s="16">
        <f>Fixed_Assets!J25</f>
        <v>0.80021512875822509</v>
      </c>
      <c r="K18" s="16">
        <f>Fixed_Assets!K25</f>
        <v>1.5815193537851542</v>
      </c>
      <c r="L18" s="16">
        <f>Fixed_Assets!L25</f>
        <v>1.9277333679785329</v>
      </c>
      <c r="M18" s="16">
        <f>Fixed_Assets!M25</f>
        <v>2.0085568829543945</v>
      </c>
      <c r="N18" s="16">
        <f>Fixed_Assets!N25</f>
        <v>1.9683447449288565</v>
      </c>
      <c r="O18" s="16">
        <f>Fixed_Assets!O25</f>
        <v>1.9461239648767901</v>
      </c>
      <c r="P18" s="16">
        <f>Fixed_Assets!P25</f>
        <v>1.9094980662634953</v>
      </c>
      <c r="Q18" s="16">
        <f>Fixed_Assets!Q25</f>
        <v>1.8584454181234946</v>
      </c>
      <c r="R18" s="16">
        <f>Fixed_Assets!R25</f>
        <v>1.7932893825396832</v>
      </c>
      <c r="S18" s="16">
        <f>Fixed_Assets!S25</f>
        <v>1.7147332651729812</v>
      </c>
    </row>
    <row r="19" spans="2:19" x14ac:dyDescent="0.2">
      <c r="B19" t="s">
        <v>362</v>
      </c>
      <c r="E19" s="16">
        <f>Hist!E68</f>
        <v>12.656000000000001</v>
      </c>
      <c r="F19" s="16">
        <f>Hist!F68</f>
        <v>-2.7890000000000001</v>
      </c>
      <c r="G19" s="16">
        <f>Hist!G68</f>
        <v>455.53399999999999</v>
      </c>
      <c r="H19" s="16">
        <f>Hist!H68</f>
        <v>169.89500000000001</v>
      </c>
      <c r="I19" s="16">
        <f>Hist!I68</f>
        <v>-109.562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2:19" x14ac:dyDescent="0.2">
      <c r="B20" s="1" t="s">
        <v>363</v>
      </c>
      <c r="E20" s="42">
        <f t="shared" ref="E20:S20" si="0">SUM(E7:E19)</f>
        <v>567.16499999999985</v>
      </c>
      <c r="F20" s="42">
        <f t="shared" si="0"/>
        <v>603.14200000000005</v>
      </c>
      <c r="G20" s="42">
        <f t="shared" si="0"/>
        <v>930.44399999999996</v>
      </c>
      <c r="H20" s="42">
        <f t="shared" si="0"/>
        <v>992.48599999999988</v>
      </c>
      <c r="I20" s="42">
        <f t="shared" si="0"/>
        <v>710.43099999999993</v>
      </c>
      <c r="J20" s="42">
        <f t="shared" ca="1" si="0"/>
        <v>793.30047302266689</v>
      </c>
      <c r="K20" s="42">
        <f t="shared" ca="1" si="0"/>
        <v>857.18554541271374</v>
      </c>
      <c r="L20" s="42">
        <f t="shared" ca="1" si="0"/>
        <v>915.24788789659351</v>
      </c>
      <c r="M20" s="42">
        <f t="shared" ca="1" si="0"/>
        <v>964.66174918435365</v>
      </c>
      <c r="N20" s="42">
        <f t="shared" ca="1" si="0"/>
        <v>1006.594859688767</v>
      </c>
      <c r="O20" s="42">
        <f t="shared" ca="1" si="0"/>
        <v>1042.8929918457661</v>
      </c>
      <c r="P20" s="42">
        <f t="shared" ca="1" si="0"/>
        <v>1079.4776120184101</v>
      </c>
      <c r="Q20" s="42">
        <f t="shared" ca="1" si="0"/>
        <v>1117.3152705952855</v>
      </c>
      <c r="R20" s="42">
        <f t="shared" ca="1" si="0"/>
        <v>1153.760717690423</v>
      </c>
      <c r="S20" s="42">
        <f t="shared" ca="1" si="0"/>
        <v>1188.5137395436784</v>
      </c>
    </row>
    <row r="21" spans="2:19" x14ac:dyDescent="0.2">
      <c r="B21" s="3" t="s">
        <v>364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spans="2:19" x14ac:dyDescent="0.2">
      <c r="B22" t="s">
        <v>365</v>
      </c>
      <c r="E22" s="16">
        <f>Hist!E70</f>
        <v>-55.915999999999997</v>
      </c>
      <c r="F22" s="16">
        <f>Hist!F70</f>
        <v>-104.19</v>
      </c>
      <c r="G22" s="16">
        <f>Hist!G70</f>
        <v>-115.625</v>
      </c>
      <c r="H22" s="16">
        <f>Hist!H70</f>
        <v>-69.346999999999994</v>
      </c>
      <c r="I22" s="16">
        <f>Hist!I70</f>
        <v>-51.231000000000002</v>
      </c>
      <c r="J22" s="21">
        <f>-Fixed_Assets!J8</f>
        <v>-65.664415840000004</v>
      </c>
      <c r="K22" s="21">
        <f>-Fixed_Assets!K8</f>
        <v>-67.967310819200009</v>
      </c>
      <c r="L22" s="21">
        <f>-Fixed_Assets!L8</f>
        <v>-70.774337798495992</v>
      </c>
      <c r="M22" s="21">
        <f>-Fixed_Assets!M8</f>
        <v>-73.699054179691515</v>
      </c>
      <c r="N22" s="21">
        <f>-Fixed_Assets!N8</f>
        <v>-76.565216531471947</v>
      </c>
      <c r="O22" s="21">
        <f>-Fixed_Assets!O8</f>
        <v>-79.39902257809986</v>
      </c>
      <c r="P22" s="21">
        <f>-Fixed_Assets!P8</f>
        <v>-82.179496619764549</v>
      </c>
      <c r="Q22" s="21">
        <f>-Fixed_Assets!Q8</f>
        <v>-84.885631459196418</v>
      </c>
      <c r="R22" s="21">
        <f>-Fixed_Assets!R8</f>
        <v>-87.496890755783056</v>
      </c>
      <c r="S22" s="21">
        <f>-Fixed_Assets!S8</f>
        <v>-89.993762272140259</v>
      </c>
    </row>
    <row r="23" spans="2:19" x14ac:dyDescent="0.2">
      <c r="B23" t="s">
        <v>366</v>
      </c>
      <c r="E23" s="16">
        <f>Hist!E71</f>
        <v>0</v>
      </c>
      <c r="F23" s="16">
        <f>Hist!F71</f>
        <v>-2046.8810000000001</v>
      </c>
      <c r="G23" s="16">
        <f>Hist!G71</f>
        <v>0</v>
      </c>
      <c r="H23" s="16">
        <f>Hist!H71</f>
        <v>0</v>
      </c>
      <c r="I23" s="16">
        <f>Hist!I71</f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</row>
    <row r="24" spans="2:19" x14ac:dyDescent="0.2">
      <c r="B24" t="s">
        <v>367</v>
      </c>
      <c r="E24" s="16">
        <f>Hist!E72</f>
        <v>-8.9999999999999993E-3</v>
      </c>
      <c r="F24" s="16">
        <f>Hist!F72</f>
        <v>-0.02</v>
      </c>
      <c r="G24" s="16">
        <f>Hist!G72</f>
        <v>-4.5999999999999999E-2</v>
      </c>
      <c r="H24" s="16">
        <f>Hist!H72</f>
        <v>0</v>
      </c>
      <c r="I24" s="16">
        <f>Hist!I72</f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</row>
    <row r="25" spans="2:19" x14ac:dyDescent="0.2">
      <c r="B25" s="1" t="s">
        <v>368</v>
      </c>
      <c r="E25" s="42">
        <f t="shared" ref="E25:S25" si="1">E22+E23+E24</f>
        <v>-55.924999999999997</v>
      </c>
      <c r="F25" s="42">
        <f t="shared" si="1"/>
        <v>-2151.0909999999999</v>
      </c>
      <c r="G25" s="42">
        <f t="shared" si="1"/>
        <v>-115.67100000000001</v>
      </c>
      <c r="H25" s="42">
        <f t="shared" si="1"/>
        <v>-69.346999999999994</v>
      </c>
      <c r="I25" s="42">
        <f t="shared" si="1"/>
        <v>-51.231000000000002</v>
      </c>
      <c r="J25" s="42">
        <f t="shared" si="1"/>
        <v>-65.664415840000004</v>
      </c>
      <c r="K25" s="42">
        <f t="shared" si="1"/>
        <v>-67.967310819200009</v>
      </c>
      <c r="L25" s="42">
        <f t="shared" si="1"/>
        <v>-70.774337798495992</v>
      </c>
      <c r="M25" s="42">
        <f t="shared" si="1"/>
        <v>-73.699054179691515</v>
      </c>
      <c r="N25" s="42">
        <f t="shared" si="1"/>
        <v>-76.565216531471947</v>
      </c>
      <c r="O25" s="42">
        <f t="shared" si="1"/>
        <v>-79.39902257809986</v>
      </c>
      <c r="P25" s="42">
        <f t="shared" si="1"/>
        <v>-82.179496619764549</v>
      </c>
      <c r="Q25" s="42">
        <f t="shared" si="1"/>
        <v>-84.885631459196418</v>
      </c>
      <c r="R25" s="42">
        <f t="shared" si="1"/>
        <v>-87.496890755783056</v>
      </c>
      <c r="S25" s="42">
        <f t="shared" si="1"/>
        <v>-89.993762272140259</v>
      </c>
    </row>
    <row r="26" spans="2:19" x14ac:dyDescent="0.2">
      <c r="B26" s="3" t="s">
        <v>369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2:19" x14ac:dyDescent="0.2">
      <c r="B27" t="s">
        <v>370</v>
      </c>
      <c r="E27" s="16">
        <f>Hist!E74</f>
        <v>1090</v>
      </c>
      <c r="F27" s="16">
        <f>Hist!F74</f>
        <v>2169.8980000000001</v>
      </c>
      <c r="G27" s="16">
        <f>Hist!G74</f>
        <v>257.90499999999997</v>
      </c>
      <c r="H27" s="16">
        <f>Hist!H74</f>
        <v>102.15600000000001</v>
      </c>
      <c r="I27" s="16">
        <f>Hist!I74</f>
        <v>819</v>
      </c>
      <c r="J27" s="21">
        <f ca="1">MAX(0,Debt!J17)+Debt!J42</f>
        <v>0</v>
      </c>
      <c r="K27" s="21">
        <f ca="1">MAX(0,Debt!K17)+Debt!K42</f>
        <v>0</v>
      </c>
      <c r="L27" s="21">
        <f ca="1">MAX(0,Debt!L17)+Debt!L42</f>
        <v>0</v>
      </c>
      <c r="M27" s="21">
        <f ca="1">MAX(0,Debt!M17)+Debt!M42</f>
        <v>350</v>
      </c>
      <c r="N27" s="21">
        <f ca="1">MAX(0,Debt!N17)+Debt!N42</f>
        <v>0</v>
      </c>
      <c r="O27" s="21">
        <f ca="1">MAX(0,Debt!O17)+Debt!O42</f>
        <v>350</v>
      </c>
      <c r="P27" s="21">
        <f ca="1">MAX(0,Debt!P17)+Debt!P42</f>
        <v>0</v>
      </c>
      <c r="Q27" s="21">
        <f ca="1">MAX(0,Debt!Q17)+Debt!Q42</f>
        <v>0</v>
      </c>
      <c r="R27" s="21">
        <f ca="1">MAX(0,Debt!R17)+Debt!R42</f>
        <v>1.496118784416467E-10</v>
      </c>
      <c r="S27" s="21">
        <f ca="1">MAX(0,Debt!S17)+Debt!S42</f>
        <v>4.618500497599598E-7</v>
      </c>
    </row>
    <row r="28" spans="2:19" x14ac:dyDescent="0.2">
      <c r="B28" t="s">
        <v>371</v>
      </c>
      <c r="E28" s="16">
        <f>Hist!E75</f>
        <v>-485</v>
      </c>
      <c r="F28" s="16">
        <f>Hist!F75</f>
        <v>-575.28499999999997</v>
      </c>
      <c r="G28" s="16">
        <f>Hist!G75</f>
        <v>-923.70299999999997</v>
      </c>
      <c r="H28" s="16">
        <f>Hist!H75</f>
        <v>-425.40499999999997</v>
      </c>
      <c r="I28" s="16">
        <f>Hist!I75</f>
        <v>-947</v>
      </c>
      <c r="J28" s="21">
        <f ca="1">-(MAX(0,-Debt!J17)+Debt!J25+Debt!J26+Debt!J32+Debt!J37)</f>
        <v>-125.88121143653314</v>
      </c>
      <c r="K28" s="21">
        <f ca="1">-(MAX(0,-Debt!K17)+Debt!K25+Debt!K26+Debt!K32+Debt!K37)</f>
        <v>-157.84364691870314</v>
      </c>
      <c r="L28" s="21">
        <f ca="1">-(MAX(0,-Debt!L17)+Debt!L25+Debt!L26+Debt!L32+Debt!L37)</f>
        <v>-168.89471001961851</v>
      </c>
      <c r="M28" s="21">
        <f ca="1">-(MAX(0,-Debt!M17)+Debt!M25+Debt!M26+Debt!M32+Debt!M37)</f>
        <v>-459.38043162514293</v>
      </c>
      <c r="N28" s="21">
        <f ca="1">-(MAX(0,-Debt!N17)+Debt!N25+Debt!N26+Debt!N32+Debt!N37)</f>
        <v>0</v>
      </c>
      <c r="O28" s="21">
        <f ca="1">-(MAX(0,-Debt!O17)+Debt!O25+Debt!O26+Debt!O32+Debt!O37)</f>
        <v>-350</v>
      </c>
      <c r="P28" s="21">
        <f ca="1">-(MAX(0,-Debt!P17)+Debt!P25+Debt!P26+Debt!P32+Debt!P37)</f>
        <v>0</v>
      </c>
      <c r="Q28" s="21">
        <f ca="1">-(MAX(0,-Debt!Q17)+Debt!Q25+Debt!Q26+Debt!Q32+Debt!Q37)</f>
        <v>0</v>
      </c>
      <c r="R28" s="21">
        <f ca="1">-(MAX(0,-Debt!R17)+Debt!R25+Debt!R26+Debt!R32+Debt!R37)</f>
        <v>0</v>
      </c>
      <c r="S28" s="21">
        <f ca="1">-(MAX(0,-Debt!S17)+Debt!S25+Debt!S26+Debt!S32+Debt!S37)</f>
        <v>0</v>
      </c>
    </row>
    <row r="29" spans="2:19" x14ac:dyDescent="0.2">
      <c r="B29" t="s">
        <v>32</v>
      </c>
      <c r="E29" s="16">
        <f>Hist!E76</f>
        <v>-1000</v>
      </c>
      <c r="F29" s="16">
        <f>Hist!F76</f>
        <v>0</v>
      </c>
      <c r="G29" s="16">
        <f>Hist!G76</f>
        <v>-175.01900000000001</v>
      </c>
      <c r="H29" s="16">
        <f>Hist!H76</f>
        <v>-552.45100000000002</v>
      </c>
      <c r="I29" s="16">
        <f>Hist!I76</f>
        <v>-582.32000000000005</v>
      </c>
      <c r="J29" s="21">
        <f ca="1">-Equity!J10</f>
        <v>-582.1088457461334</v>
      </c>
      <c r="K29" s="21">
        <f ca="1">-Equity!K10</f>
        <v>-631.37458767481098</v>
      </c>
      <c r="L29" s="21">
        <f ca="1">-Equity!L10</f>
        <v>-675.57884007847815</v>
      </c>
      <c r="M29" s="21">
        <f ca="1">-Equity!M10</f>
        <v>-712.77015600372954</v>
      </c>
      <c r="N29" s="21">
        <f ca="1">-Equity!N10</f>
        <v>-998.84175053308286</v>
      </c>
      <c r="O29" s="21">
        <f ca="1">-Equity!O10</f>
        <v>-963.49396926766622</v>
      </c>
      <c r="P29" s="21">
        <f ca="1">-Equity!P10</f>
        <v>-997.29811539864545</v>
      </c>
      <c r="Q29" s="21">
        <f ca="1">-Equity!Q10</f>
        <v>-1032.429639136089</v>
      </c>
      <c r="R29" s="21">
        <f ca="1">-Equity!R10</f>
        <v>-1066.2638269346389</v>
      </c>
      <c r="S29" s="21">
        <f ca="1">-Equity!S10</f>
        <v>-1098.5199772682929</v>
      </c>
    </row>
    <row r="30" spans="2:19" x14ac:dyDescent="0.2">
      <c r="B30" t="s">
        <v>372</v>
      </c>
      <c r="E30" s="16">
        <f>Hist!E77</f>
        <v>-34.637999999999998</v>
      </c>
      <c r="F30" s="16">
        <f>Hist!F77</f>
        <v>-64.953999999999994</v>
      </c>
      <c r="G30" s="16">
        <f>Hist!G77</f>
        <v>-18.821999999999999</v>
      </c>
      <c r="H30" s="16">
        <f>Hist!H77</f>
        <v>-10.348000000000001</v>
      </c>
      <c r="I30" s="16">
        <f>Hist!I77</f>
        <v>-4.2450000000000001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</row>
    <row r="31" spans="2:19" x14ac:dyDescent="0.2">
      <c r="B31" s="1" t="s">
        <v>373</v>
      </c>
      <c r="E31" s="42">
        <f t="shared" ref="E31:S31" si="2">E27+E28+E29+E30</f>
        <v>-429.63799999999998</v>
      </c>
      <c r="F31" s="42">
        <f t="shared" si="2"/>
        <v>1529.6590000000003</v>
      </c>
      <c r="G31" s="42">
        <f t="shared" si="2"/>
        <v>-859.63900000000001</v>
      </c>
      <c r="H31" s="42">
        <f t="shared" si="2"/>
        <v>-886.048</v>
      </c>
      <c r="I31" s="42">
        <f t="shared" si="2"/>
        <v>-714.56500000000005</v>
      </c>
      <c r="J31" s="42">
        <f t="shared" ca="1" si="2"/>
        <v>-707.99005718266653</v>
      </c>
      <c r="K31" s="42">
        <f t="shared" ca="1" si="2"/>
        <v>-789.21823459351413</v>
      </c>
      <c r="L31" s="42">
        <f t="shared" ca="1" si="2"/>
        <v>-844.47355009809667</v>
      </c>
      <c r="M31" s="42">
        <f t="shared" ca="1" si="2"/>
        <v>-822.15058762887247</v>
      </c>
      <c r="N31" s="42">
        <f t="shared" ca="1" si="2"/>
        <v>-998.84175053308286</v>
      </c>
      <c r="O31" s="42">
        <f t="shared" ca="1" si="2"/>
        <v>-963.49396926766622</v>
      </c>
      <c r="P31" s="42">
        <f t="shared" ca="1" si="2"/>
        <v>-997.29811539864545</v>
      </c>
      <c r="Q31" s="42">
        <f t="shared" ca="1" si="2"/>
        <v>-1032.429639136089</v>
      </c>
      <c r="R31" s="42">
        <f t="shared" ca="1" si="2"/>
        <v>-1066.2638269344893</v>
      </c>
      <c r="S31" s="42">
        <f t="shared" ca="1" si="2"/>
        <v>-1098.5199768064429</v>
      </c>
    </row>
    <row r="32" spans="2:19" x14ac:dyDescent="0.2">
      <c r="B32" t="s">
        <v>374</v>
      </c>
      <c r="E32" s="16">
        <f>Hist!E79</f>
        <v>-3.95</v>
      </c>
      <c r="F32" s="16">
        <f>Hist!F79</f>
        <v>-3.75</v>
      </c>
      <c r="G32" s="16">
        <f>Hist!G79</f>
        <v>3.0779999999999998</v>
      </c>
      <c r="H32" s="16">
        <f>Hist!H79</f>
        <v>-6.51</v>
      </c>
      <c r="I32" s="16">
        <f>Hist!I79</f>
        <v>5.5979999999999999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</row>
    <row r="33" spans="2:19" x14ac:dyDescent="0.2">
      <c r="B33" s="1" t="s">
        <v>375</v>
      </c>
      <c r="E33" s="42">
        <f t="shared" ref="E33:S33" si="3">E20+E25+E31+E32</f>
        <v>77.651999999999859</v>
      </c>
      <c r="F33" s="42">
        <f t="shared" si="3"/>
        <v>-22.039999999999509</v>
      </c>
      <c r="G33" s="42">
        <f t="shared" si="3"/>
        <v>-41.788000000000096</v>
      </c>
      <c r="H33" s="42">
        <f t="shared" si="3"/>
        <v>30.580999999999896</v>
      </c>
      <c r="I33" s="42">
        <f t="shared" si="3"/>
        <v>-49.767000000000124</v>
      </c>
      <c r="J33" s="42">
        <f t="shared" ca="1" si="3"/>
        <v>19.646000000000413</v>
      </c>
      <c r="K33" s="42">
        <f t="shared" ca="1" si="3"/>
        <v>-4.5474735088646412E-13</v>
      </c>
      <c r="L33" s="42">
        <f t="shared" ca="1" si="3"/>
        <v>9.0949470177292824E-13</v>
      </c>
      <c r="M33" s="42">
        <f t="shared" ca="1" si="3"/>
        <v>68.812107375789651</v>
      </c>
      <c r="N33" s="42">
        <f t="shared" ca="1" si="3"/>
        <v>-68.812107375787832</v>
      </c>
      <c r="O33" s="42">
        <f t="shared" ca="1" si="3"/>
        <v>0</v>
      </c>
      <c r="P33" s="42">
        <f t="shared" ca="1" si="3"/>
        <v>1.1368683772161603E-13</v>
      </c>
      <c r="Q33" s="42">
        <f t="shared" ca="1" si="3"/>
        <v>0</v>
      </c>
      <c r="R33" s="42">
        <f t="shared" ca="1" si="3"/>
        <v>1.5052137314341962E-10</v>
      </c>
      <c r="S33" s="42">
        <f t="shared" ca="1" si="3"/>
        <v>4.6509535422956105E-7</v>
      </c>
    </row>
    <row r="34" spans="2:19" x14ac:dyDescent="0.2">
      <c r="B34" t="s">
        <v>376</v>
      </c>
      <c r="J34" s="16">
        <f>BS!I7</f>
        <v>130.35400000000001</v>
      </c>
      <c r="K34" s="16">
        <f ca="1">BS!J7</f>
        <v>149.99999999999952</v>
      </c>
      <c r="L34" s="16">
        <f ca="1">BS!K7</f>
        <v>150.00000000000088</v>
      </c>
      <c r="M34" s="16">
        <f ca="1">BS!L7</f>
        <v>149.99999999999815</v>
      </c>
      <c r="N34" s="16">
        <f ca="1">BS!M7</f>
        <v>218.8121073757878</v>
      </c>
      <c r="O34" s="16">
        <f ca="1">BS!N7</f>
        <v>149.99999999999997</v>
      </c>
      <c r="P34" s="16">
        <f ca="1">BS!O7</f>
        <v>149.99999999999997</v>
      </c>
      <c r="Q34" s="16">
        <f ca="1">BS!P7</f>
        <v>150.00000000000009</v>
      </c>
      <c r="R34" s="16">
        <f ca="1">BS!Q7</f>
        <v>150.00000000000009</v>
      </c>
      <c r="S34" s="16">
        <f ca="1">BS!R7</f>
        <v>150.00000000002237</v>
      </c>
    </row>
    <row r="35" spans="2:19" x14ac:dyDescent="0.2">
      <c r="B35" s="1" t="s">
        <v>377</v>
      </c>
      <c r="J35" s="41">
        <f t="shared" ref="J35:S35" ca="1" si="4">J34+J33</f>
        <v>150.00000000000043</v>
      </c>
      <c r="K35" s="41">
        <f t="shared" ca="1" si="4"/>
        <v>149.99999999999906</v>
      </c>
      <c r="L35" s="41">
        <f t="shared" ca="1" si="4"/>
        <v>150.00000000000179</v>
      </c>
      <c r="M35" s="41">
        <f t="shared" ca="1" si="4"/>
        <v>218.8121073757878</v>
      </c>
      <c r="N35" s="41">
        <f t="shared" ca="1" si="4"/>
        <v>149.99999999999997</v>
      </c>
      <c r="O35" s="41">
        <f t="shared" ca="1" si="4"/>
        <v>149.99999999999997</v>
      </c>
      <c r="P35" s="41">
        <f t="shared" ca="1" si="4"/>
        <v>150.00000000000009</v>
      </c>
      <c r="Q35" s="41">
        <f t="shared" ca="1" si="4"/>
        <v>150.00000000000009</v>
      </c>
      <c r="R35" s="41">
        <f t="shared" ca="1" si="4"/>
        <v>150.00000000015061</v>
      </c>
      <c r="S35" s="41">
        <f t="shared" ca="1" si="4"/>
        <v>150.00000046511772</v>
      </c>
    </row>
    <row r="36" spans="2:19" x14ac:dyDescent="0.2">
      <c r="B36" s="3" t="s">
        <v>31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</row>
    <row r="37" spans="2:19" x14ac:dyDescent="0.2">
      <c r="B37" s="1" t="s">
        <v>378</v>
      </c>
      <c r="E37" s="41">
        <f t="shared" ref="E37:S37" si="5">E20+E22</f>
        <v>511.24899999999985</v>
      </c>
      <c r="F37" s="41">
        <f t="shared" si="5"/>
        <v>498.95200000000006</v>
      </c>
      <c r="G37" s="41">
        <f t="shared" si="5"/>
        <v>814.81899999999996</v>
      </c>
      <c r="H37" s="41">
        <f t="shared" si="5"/>
        <v>923.1389999999999</v>
      </c>
      <c r="I37" s="41">
        <f t="shared" si="5"/>
        <v>659.19999999999993</v>
      </c>
      <c r="J37" s="41">
        <f t="shared" ca="1" si="5"/>
        <v>727.63605718266695</v>
      </c>
      <c r="K37" s="41">
        <f t="shared" ca="1" si="5"/>
        <v>789.21823459351367</v>
      </c>
      <c r="L37" s="41">
        <f t="shared" ca="1" si="5"/>
        <v>844.47355009809758</v>
      </c>
      <c r="M37" s="41">
        <f t="shared" ca="1" si="5"/>
        <v>890.96269500466212</v>
      </c>
      <c r="N37" s="41">
        <f t="shared" ca="1" si="5"/>
        <v>930.02964315729503</v>
      </c>
      <c r="O37" s="41">
        <f t="shared" ca="1" si="5"/>
        <v>963.49396926766622</v>
      </c>
      <c r="P37" s="41">
        <f t="shared" ca="1" si="5"/>
        <v>997.29811539864556</v>
      </c>
      <c r="Q37" s="41">
        <f t="shared" ca="1" si="5"/>
        <v>1032.429639136089</v>
      </c>
      <c r="R37" s="41">
        <f t="shared" ca="1" si="5"/>
        <v>1066.2638269346398</v>
      </c>
      <c r="S37" s="41">
        <f t="shared" ca="1" si="5"/>
        <v>1098.5199772715382</v>
      </c>
    </row>
    <row r="38" spans="2:19" x14ac:dyDescent="0.2">
      <c r="B38" s="17" t="s">
        <v>282</v>
      </c>
      <c r="E38" s="18">
        <f>E37/IS!E7</f>
        <v>0.22099311148535319</v>
      </c>
      <c r="F38" s="18">
        <f>F37/IS!F7</f>
        <v>0.14035277223391943</v>
      </c>
      <c r="G38" s="18">
        <f>G37/IS!G7</f>
        <v>0.20564049539326062</v>
      </c>
      <c r="H38" s="18">
        <f>H37/IS!H7</f>
        <v>0.22504015008868608</v>
      </c>
      <c r="I38" s="18">
        <f>I37/IS!I7</f>
        <v>0.16314218985226869</v>
      </c>
      <c r="J38" s="18">
        <f ca="1">J37/IS!J7</f>
        <v>0.17729811140466656</v>
      </c>
      <c r="K38" s="18">
        <f ca="1">K37/IS!K7</f>
        <v>0.18578772061596843</v>
      </c>
      <c r="L38" s="18">
        <f ca="1">L37/IS!L7</f>
        <v>0.19091067782278412</v>
      </c>
      <c r="M38" s="18">
        <f ca="1">M37/IS!M7</f>
        <v>0.19342721936861446</v>
      </c>
      <c r="N38" s="18">
        <f ca="1">N37/IS!N7</f>
        <v>0.19435031943519859</v>
      </c>
      <c r="O38" s="18">
        <f ca="1">O37/IS!O7</f>
        <v>0.19415734611996008</v>
      </c>
      <c r="P38" s="18">
        <f ca="1">P37/IS!P7</f>
        <v>0.1941697199753917</v>
      </c>
      <c r="Q38" s="18">
        <f ca="1">Q37/IS!Q7</f>
        <v>0.1946015355274569</v>
      </c>
      <c r="R38" s="18">
        <f ca="1">R37/IS!R7</f>
        <v>0.19498088541879591</v>
      </c>
      <c r="S38" s="18">
        <f ca="1">S37/IS!S7</f>
        <v>0.19530597668751742</v>
      </c>
    </row>
    <row r="39" spans="2:19" x14ac:dyDescent="0.2">
      <c r="B39" t="s">
        <v>379</v>
      </c>
      <c r="E39" s="21">
        <f t="shared" ref="E39:S39" si="6">E37-E10</f>
        <v>473.12699999999984</v>
      </c>
      <c r="F39" s="21">
        <f t="shared" si="6"/>
        <v>467.64900000000006</v>
      </c>
      <c r="G39" s="21">
        <f t="shared" si="6"/>
        <v>785.74699999999996</v>
      </c>
      <c r="H39" s="21">
        <f t="shared" si="6"/>
        <v>890.0859999999999</v>
      </c>
      <c r="I39" s="21">
        <f t="shared" si="6"/>
        <v>622.49899999999991</v>
      </c>
      <c r="J39" s="21">
        <f t="shared" ca="1" si="6"/>
        <v>690.69982327266689</v>
      </c>
      <c r="K39" s="21">
        <f t="shared" ca="1" si="6"/>
        <v>750.98662225771363</v>
      </c>
      <c r="L39" s="21">
        <f t="shared" ca="1" si="6"/>
        <v>804.66298508644354</v>
      </c>
      <c r="M39" s="21">
        <f t="shared" ca="1" si="6"/>
        <v>849.50697702858565</v>
      </c>
      <c r="N39" s="21">
        <f t="shared" ca="1" si="6"/>
        <v>886.96170885834204</v>
      </c>
      <c r="O39" s="21">
        <f t="shared" ca="1" si="6"/>
        <v>918.83201906748502</v>
      </c>
      <c r="P39" s="21">
        <f t="shared" ca="1" si="6"/>
        <v>951.07214855002803</v>
      </c>
      <c r="Q39" s="21">
        <f t="shared" ca="1" si="6"/>
        <v>984.68147144029103</v>
      </c>
      <c r="R39" s="21">
        <f t="shared" ca="1" si="6"/>
        <v>1017.0468258845119</v>
      </c>
      <c r="S39" s="21">
        <f t="shared" ca="1" si="6"/>
        <v>1047.8984859934594</v>
      </c>
    </row>
    <row r="40" spans="2:19" x14ac:dyDescent="0.2">
      <c r="B40" s="17" t="s">
        <v>380</v>
      </c>
      <c r="E40" s="46">
        <f>IFERROR(E37/IS!E23,"n.m.")</f>
        <v>0.70449666112714127</v>
      </c>
      <c r="F40" s="46">
        <f>IFERROR(F37/IS!F23,"n.m.")</f>
        <v>0.92371320296431225</v>
      </c>
      <c r="G40" s="46">
        <f>IFERROR(G37/IS!G23,"n.m.")</f>
        <v>1.0280771569812488</v>
      </c>
      <c r="H40" s="46">
        <f>IFERROR(H37/IS!H23,"n.m.")</f>
        <v>0.97165162219284407</v>
      </c>
      <c r="I40" s="46">
        <f>IFERROR(I37/IS!I23,"n.m.")</f>
        <v>-8.1184265622305833</v>
      </c>
      <c r="J40" s="46">
        <f ca="1">J37/IS!J23</f>
        <v>1.1426739361688287</v>
      </c>
      <c r="K40" s="46">
        <f ca="1">K37/IS!K23</f>
        <v>1.1277290084031364</v>
      </c>
      <c r="L40" s="46">
        <f ca="1">L37/IS!L23</f>
        <v>1.1201039143354259</v>
      </c>
      <c r="M40" s="46">
        <f ca="1">M37/IS!M23</f>
        <v>1.1081680925585569</v>
      </c>
      <c r="N40" s="46">
        <f ca="1">N37/IS!N23</f>
        <v>1.1000905531496017</v>
      </c>
      <c r="O40" s="46">
        <f ca="1">O37/IS!O23</f>
        <v>1.0998603502875564</v>
      </c>
      <c r="P40" s="46">
        <f ca="1">P37/IS!P23</f>
        <v>1.0999674579727219</v>
      </c>
      <c r="Q40" s="46">
        <f ca="1">Q37/IS!Q23</f>
        <v>1.1000942026511895</v>
      </c>
      <c r="R40" s="46">
        <f ca="1">R37/IS!R23</f>
        <v>1.1003510410491868</v>
      </c>
      <c r="S40" s="46">
        <f ca="1">S37/IS!S23</f>
        <v>1.1007258809246452</v>
      </c>
    </row>
    <row r="41" spans="2:19" x14ac:dyDescent="0.2">
      <c r="B41" t="s">
        <v>381</v>
      </c>
      <c r="E41" s="27">
        <f>E37/IS!E24</f>
        <v>8.0236196993000384</v>
      </c>
      <c r="F41" s="27">
        <f>F37/IS!F24</f>
        <v>8.0468341773376775</v>
      </c>
      <c r="G41" s="27">
        <f>G37/IS!G24</f>
        <v>13.152424457644628</v>
      </c>
      <c r="H41" s="27">
        <f>H37/IS!H24</f>
        <v>15.42885078219013</v>
      </c>
      <c r="I41" s="27">
        <f>I37/IS!I24</f>
        <v>12.160566706021251</v>
      </c>
      <c r="J41" s="27">
        <f ca="1">J37/IS!J24</f>
        <v>15.051007835777128</v>
      </c>
      <c r="K41" s="27">
        <f ca="1">K37/IS!K24</f>
        <v>17.950321877081084</v>
      </c>
      <c r="L41" s="27">
        <f ca="1">L37/IS!L24</f>
        <v>21.144141465716057</v>
      </c>
      <c r="M41" s="27">
        <f ca="1">M37/IS!M24</f>
        <v>24.504351914884623</v>
      </c>
      <c r="N41" s="27">
        <f ca="1">N37/IS!N24</f>
        <v>28.491639470136647</v>
      </c>
      <c r="O41" s="27">
        <f ca="1">O37/IS!O24</f>
        <v>33.279570442520473</v>
      </c>
      <c r="P41" s="27">
        <f ca="1">P37/IS!P24</f>
        <v>38.555039507371994</v>
      </c>
      <c r="Q41" s="27">
        <f ca="1">Q37/IS!Q24</f>
        <v>44.564702224828622</v>
      </c>
      <c r="R41" s="27">
        <f ca="1">R37/IS!R24</f>
        <v>51.270651388274246</v>
      </c>
      <c r="S41" s="27">
        <f ca="1">S37/IS!S24</f>
        <v>58.686446093249572</v>
      </c>
    </row>
    <row r="42" spans="2:19" x14ac:dyDescent="0.2">
      <c r="B42" s="17" t="s">
        <v>382</v>
      </c>
      <c r="J42" s="44">
        <f ca="1">Debt!J51-Debt!J48</f>
        <v>60.961563656904005</v>
      </c>
      <c r="K42" s="44">
        <f ca="1">Debt!K51-Debt!K48</f>
        <v>51.851325493486605</v>
      </c>
      <c r="L42" s="44">
        <f ca="1">Debt!L51-Debt!L48</f>
        <v>41.973028264922547</v>
      </c>
      <c r="M42" s="44">
        <f ca="1">Debt!M51-Debt!M48</f>
        <v>36.945461869691428</v>
      </c>
      <c r="N42" s="44">
        <f ca="1">Debt!N51-Debt!N48</f>
        <v>36.5625</v>
      </c>
      <c r="O42" s="44">
        <f ca="1">Debt!O51-Debt!O48</f>
        <v>39.40625</v>
      </c>
      <c r="P42" s="44">
        <f ca="1">Debt!P51-Debt!P48</f>
        <v>42.25</v>
      </c>
      <c r="Q42" s="44">
        <f ca="1">Debt!Q51-Debt!Q48</f>
        <v>42.25</v>
      </c>
      <c r="R42" s="44">
        <f ca="1">Debt!R51-Debt!R48</f>
        <v>42.25</v>
      </c>
      <c r="S42" s="44">
        <f ca="1">Debt!S51-Debt!S48</f>
        <v>42.250000000003403</v>
      </c>
    </row>
    <row r="43" spans="2:19" x14ac:dyDescent="0.2">
      <c r="B43" s="17" t="s">
        <v>383</v>
      </c>
      <c r="E43" s="44">
        <f>Hist!E81</f>
        <v>159.68</v>
      </c>
      <c r="F43" s="44">
        <f>Hist!F81</f>
        <v>130.084</v>
      </c>
      <c r="G43" s="44">
        <f>Hist!G81</f>
        <v>176.56399999999999</v>
      </c>
      <c r="H43" s="44">
        <f>Hist!H81</f>
        <v>122.678</v>
      </c>
      <c r="I43" s="44">
        <f>Hist!I81</f>
        <v>185.066</v>
      </c>
      <c r="J43" s="44">
        <f ca="1">Tax!J12</f>
        <v>148.85851095055727</v>
      </c>
      <c r="K43" s="44">
        <f ca="1">Tax!K12</f>
        <v>161.49915764256838</v>
      </c>
      <c r="L43" s="44">
        <f ca="1">Tax!L12</f>
        <v>173.9825288234295</v>
      </c>
      <c r="M43" s="44">
        <f ca="1">Tax!M12</f>
        <v>185.53753455903816</v>
      </c>
      <c r="N43" s="44">
        <f ca="1">Tax!N12</f>
        <v>195.09505352038468</v>
      </c>
      <c r="O43" s="44">
        <f ca="1">Tax!O12</f>
        <v>202.15726667531982</v>
      </c>
      <c r="P43" s="44">
        <f ca="1">Tax!P12</f>
        <v>209.22957062958525</v>
      </c>
      <c r="Q43" s="44">
        <f ca="1">Tax!Q12</f>
        <v>216.57508336341394</v>
      </c>
      <c r="R43" s="44">
        <f ca="1">Tax!R12</f>
        <v>223.62034837913501</v>
      </c>
      <c r="S43" s="44">
        <f ca="1">Tax!S12</f>
        <v>230.30675896039742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S23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384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385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t="s">
        <v>318</v>
      </c>
      <c r="E7" s="16">
        <f>Hist!E33</f>
        <v>182.62899999999999</v>
      </c>
      <c r="F7" s="16">
        <f>Hist!F33</f>
        <v>295.59399999999999</v>
      </c>
      <c r="G7" s="16">
        <f>Hist!G33</f>
        <v>305.74700000000001</v>
      </c>
      <c r="H7" s="16">
        <f>Hist!H33</f>
        <v>257.65699999999998</v>
      </c>
      <c r="I7" s="16">
        <f>Hist!I33</f>
        <v>278.19099999999997</v>
      </c>
      <c r="J7" s="21">
        <f>IS!J7*Inputs!J80/365</f>
        <v>281.0976705479452</v>
      </c>
      <c r="K7" s="21">
        <f>IS!K7*Inputs!K80/365</f>
        <v>290.95595384931511</v>
      </c>
      <c r="L7" s="21">
        <f>IS!L7*Inputs!L80/365</f>
        <v>302.97233646616434</v>
      </c>
      <c r="M7" s="21">
        <f>IS!M7*Inputs!M80/365</f>
        <v>315.49252645415891</v>
      </c>
      <c r="N7" s="21">
        <f>IS!N7*Inputs!N80/365</f>
        <v>327.76205706965732</v>
      </c>
      <c r="O7" s="21">
        <f>IS!O7*Inputs!O80/365</f>
        <v>339.89307610487953</v>
      </c>
      <c r="P7" s="21">
        <f>IS!P7*Inputs!P80/365</f>
        <v>351.79579032433452</v>
      </c>
      <c r="Q7" s="21">
        <f>IS!Q7*Inputs!Q80/365</f>
        <v>363.3802716575189</v>
      </c>
      <c r="R7" s="21">
        <f>IS!R7*Inputs!R80/365</f>
        <v>374.55860768742747</v>
      </c>
      <c r="S7" s="21">
        <f>IS!S7*Inputs!S80/365</f>
        <v>385.24727000060039</v>
      </c>
    </row>
    <row r="8" spans="2:19" x14ac:dyDescent="0.2">
      <c r="B8" s="17" t="s">
        <v>386</v>
      </c>
      <c r="E8" s="47">
        <f>E7/IS!E7*365</f>
        <v>28.814352887677785</v>
      </c>
      <c r="F8" s="47">
        <f>F7/IS!F7*365</f>
        <v>30.349441699472713</v>
      </c>
      <c r="G8" s="47">
        <f>G7/IS!G7*365</f>
        <v>28.164533545396207</v>
      </c>
      <c r="H8" s="47">
        <f>H7/IS!H7*365</f>
        <v>22.925970013466245</v>
      </c>
      <c r="I8" s="47">
        <f>I7/IS!I7*365</f>
        <v>25.129568358730666</v>
      </c>
      <c r="J8" s="47">
        <f>Inputs!J80</f>
        <v>25</v>
      </c>
      <c r="K8" s="47">
        <f>Inputs!K80</f>
        <v>25</v>
      </c>
      <c r="L8" s="47">
        <f>Inputs!L80</f>
        <v>25</v>
      </c>
      <c r="M8" s="47">
        <f>Inputs!M80</f>
        <v>25</v>
      </c>
      <c r="N8" s="47">
        <f>Inputs!N80</f>
        <v>25</v>
      </c>
      <c r="O8" s="47">
        <f>Inputs!O80</f>
        <v>25</v>
      </c>
      <c r="P8" s="47">
        <f>Inputs!P80</f>
        <v>25</v>
      </c>
      <c r="Q8" s="47">
        <f>Inputs!Q80</f>
        <v>25</v>
      </c>
      <c r="R8" s="47">
        <f>Inputs!R80</f>
        <v>25</v>
      </c>
      <c r="S8" s="47">
        <f>Inputs!S80</f>
        <v>25</v>
      </c>
    </row>
    <row r="9" spans="2:19" x14ac:dyDescent="0.2">
      <c r="B9" t="s">
        <v>319</v>
      </c>
      <c r="E9" s="16">
        <f>Hist!E34</f>
        <v>213.52</v>
      </c>
      <c r="F9" s="16">
        <f>Hist!F34</f>
        <v>471.55099999999999</v>
      </c>
      <c r="G9" s="16">
        <f>Hist!G34</f>
        <v>385.05399999999997</v>
      </c>
      <c r="H9" s="16">
        <f>Hist!H34</f>
        <v>356.25400000000002</v>
      </c>
      <c r="I9" s="16">
        <f>Hist!I34</f>
        <v>368.68700000000001</v>
      </c>
      <c r="J9" s="21">
        <f>IS!J9*Inputs!J84/365</f>
        <v>379.73871815890419</v>
      </c>
      <c r="K9" s="21">
        <f>IS!K9*Inputs!K84/365</f>
        <v>390.48769564010962</v>
      </c>
      <c r="L9" s="21">
        <f>IS!L9*Inputs!L84/365</f>
        <v>404.23830603794846</v>
      </c>
      <c r="M9" s="21">
        <f>IS!M9*Inputs!M84/365</f>
        <v>420.43946889299878</v>
      </c>
      <c r="N9" s="21">
        <f>IS!N9*Inputs!N84/365</f>
        <v>436.42988217415189</v>
      </c>
      <c r="O9" s="21">
        <f>IS!O9*Inputs!O84/365</f>
        <v>452.26288152316476</v>
      </c>
      <c r="P9" s="21">
        <f>IS!P9*Inputs!P84/365</f>
        <v>467.82646315382453</v>
      </c>
      <c r="Q9" s="21">
        <f>IS!Q9*Inputs!Q84/365</f>
        <v>483.00849339508011</v>
      </c>
      <c r="R9" s="21">
        <f>IS!R9*Inputs!R84/365</f>
        <v>497.69937934287526</v>
      </c>
      <c r="S9" s="21">
        <f>IS!S9*Inputs!S84/365</f>
        <v>511.7950858334392</v>
      </c>
    </row>
    <row r="10" spans="2:19" x14ac:dyDescent="0.2">
      <c r="B10" s="17" t="s">
        <v>387</v>
      </c>
      <c r="E10" s="47">
        <f>E9/IS!E9*365</f>
        <v>87.253861414515967</v>
      </c>
      <c r="F10" s="47">
        <f>F9/IS!F9*365</f>
        <v>101.56122636237735</v>
      </c>
      <c r="G10" s="47">
        <f>G9/IS!G9*365</f>
        <v>80.204155935758919</v>
      </c>
      <c r="H10" s="47">
        <f>H9/IS!H9*365</f>
        <v>76.85829713036027</v>
      </c>
      <c r="I10" s="47">
        <f>I9/IS!I9*365</f>
        <v>79.930740345641937</v>
      </c>
      <c r="J10" s="47">
        <f>Inputs!J84</f>
        <v>80</v>
      </c>
      <c r="K10" s="47">
        <f>Inputs!K84</f>
        <v>80</v>
      </c>
      <c r="L10" s="47">
        <f>Inputs!L84</f>
        <v>80</v>
      </c>
      <c r="M10" s="47">
        <f>Inputs!M84</f>
        <v>80</v>
      </c>
      <c r="N10" s="47">
        <f>Inputs!N84</f>
        <v>80</v>
      </c>
      <c r="O10" s="47">
        <f>Inputs!O84</f>
        <v>80</v>
      </c>
      <c r="P10" s="47">
        <f>Inputs!P84</f>
        <v>80</v>
      </c>
      <c r="Q10" s="47">
        <f>Inputs!Q84</f>
        <v>80</v>
      </c>
      <c r="R10" s="47">
        <f>Inputs!R84</f>
        <v>80</v>
      </c>
      <c r="S10" s="47">
        <f>Inputs!S84</f>
        <v>80</v>
      </c>
    </row>
    <row r="11" spans="2:19" x14ac:dyDescent="0.2">
      <c r="B11" t="s">
        <v>321</v>
      </c>
      <c r="E11" s="16">
        <f>Hist!E36</f>
        <v>34.921999999999997</v>
      </c>
      <c r="F11" s="16">
        <f>Hist!F36</f>
        <v>52.448999999999998</v>
      </c>
      <c r="G11" s="16">
        <f>Hist!G36</f>
        <v>66.201999999999998</v>
      </c>
      <c r="H11" s="16">
        <f>Hist!H36</f>
        <v>73.826999999999998</v>
      </c>
      <c r="I11" s="16">
        <f>Hist!I36</f>
        <v>75.869</v>
      </c>
      <c r="J11" s="21">
        <f>IS!J7*Inputs!J98</f>
        <v>77.976493809999994</v>
      </c>
      <c r="K11" s="21">
        <f>IS!K7*Inputs!K98</f>
        <v>80.711181597800007</v>
      </c>
      <c r="L11" s="21">
        <f>IS!L7*Inputs!L98</f>
        <v>84.044526135713994</v>
      </c>
      <c r="M11" s="21">
        <f>IS!M7*Inputs!M98</f>
        <v>87.517626838383677</v>
      </c>
      <c r="N11" s="21">
        <f>IS!N7*Inputs!N98</f>
        <v>90.92119463112293</v>
      </c>
      <c r="O11" s="21">
        <f>IS!O7*Inputs!O98</f>
        <v>94.286339311493577</v>
      </c>
      <c r="P11" s="21">
        <f>IS!P7*Inputs!P98</f>
        <v>97.588152235970384</v>
      </c>
      <c r="Q11" s="21">
        <f>IS!Q7*Inputs!Q98</f>
        <v>100.80168735779574</v>
      </c>
      <c r="R11" s="21">
        <f>IS!R7*Inputs!R98</f>
        <v>103.90255777249237</v>
      </c>
      <c r="S11" s="21">
        <f>IS!S7*Inputs!S98</f>
        <v>106.86759269816656</v>
      </c>
    </row>
    <row r="12" spans="2:19" x14ac:dyDescent="0.2">
      <c r="B12" t="s">
        <v>320</v>
      </c>
      <c r="E12" s="16">
        <f>Hist!E35</f>
        <v>22.300999999999998</v>
      </c>
      <c r="F12" s="16">
        <f>Hist!F35</f>
        <v>14.752000000000001</v>
      </c>
      <c r="G12" s="16">
        <f>Hist!G35</f>
        <v>4.4130000000000003</v>
      </c>
      <c r="H12" s="16">
        <f>Hist!H35</f>
        <v>4.0460000000000003</v>
      </c>
      <c r="I12" s="16">
        <f>Hist!I35</f>
        <v>32.781999999999996</v>
      </c>
      <c r="J12" s="21">
        <f t="shared" ref="J12:S12" si="0">I12</f>
        <v>32.781999999999996</v>
      </c>
      <c r="K12" s="21">
        <f t="shared" si="0"/>
        <v>32.781999999999996</v>
      </c>
      <c r="L12" s="21">
        <f t="shared" si="0"/>
        <v>32.781999999999996</v>
      </c>
      <c r="M12" s="21">
        <f t="shared" si="0"/>
        <v>32.781999999999996</v>
      </c>
      <c r="N12" s="21">
        <f t="shared" si="0"/>
        <v>32.781999999999996</v>
      </c>
      <c r="O12" s="21">
        <f t="shared" si="0"/>
        <v>32.781999999999996</v>
      </c>
      <c r="P12" s="21">
        <f t="shared" si="0"/>
        <v>32.781999999999996</v>
      </c>
      <c r="Q12" s="21">
        <f t="shared" si="0"/>
        <v>32.781999999999996</v>
      </c>
      <c r="R12" s="21">
        <f t="shared" si="0"/>
        <v>32.781999999999996</v>
      </c>
      <c r="S12" s="21">
        <f t="shared" si="0"/>
        <v>32.781999999999996</v>
      </c>
    </row>
    <row r="13" spans="2:19" x14ac:dyDescent="0.2">
      <c r="B13" s="3" t="s">
        <v>388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2:19" x14ac:dyDescent="0.2">
      <c r="B14" t="s">
        <v>331</v>
      </c>
      <c r="E14" s="16">
        <f>Hist!E46</f>
        <v>162.14500000000001</v>
      </c>
      <c r="F14" s="16">
        <f>Hist!F46</f>
        <v>230.821</v>
      </c>
      <c r="G14" s="16">
        <f>Hist!G46</f>
        <v>260.97800000000001</v>
      </c>
      <c r="H14" s="16">
        <f>Hist!H46</f>
        <v>264.90100000000001</v>
      </c>
      <c r="I14" s="16">
        <f>Hist!I46</f>
        <v>266.08999999999997</v>
      </c>
      <c r="J14" s="21">
        <f>IS!J9*Inputs!J88/365</f>
        <v>270.56383668821923</v>
      </c>
      <c r="K14" s="21">
        <f>IS!K9*Inputs!K88/365</f>
        <v>278.22248314357813</v>
      </c>
      <c r="L14" s="21">
        <f>IS!L9*Inputs!L88/365</f>
        <v>288.01979305203827</v>
      </c>
      <c r="M14" s="21">
        <f>IS!M9*Inputs!M88/365</f>
        <v>299.56312158626162</v>
      </c>
      <c r="N14" s="21">
        <f>IS!N9*Inputs!N88/365</f>
        <v>310.95629104908318</v>
      </c>
      <c r="O14" s="21">
        <f>IS!O9*Inputs!O88/365</f>
        <v>322.23730308525489</v>
      </c>
      <c r="P14" s="21">
        <f>IS!P9*Inputs!P88/365</f>
        <v>333.32635499709994</v>
      </c>
      <c r="Q14" s="21">
        <f>IS!Q9*Inputs!Q88/365</f>
        <v>344.14355154399453</v>
      </c>
      <c r="R14" s="21">
        <f>IS!R9*Inputs!R88/365</f>
        <v>354.61080778179866</v>
      </c>
      <c r="S14" s="21">
        <f>IS!S9*Inputs!S88/365</f>
        <v>364.65399865632548</v>
      </c>
    </row>
    <row r="15" spans="2:19" x14ac:dyDescent="0.2">
      <c r="B15" s="17" t="s">
        <v>389</v>
      </c>
      <c r="E15" s="47">
        <f>E14/IS!E9*365</f>
        <v>66.259729107609076</v>
      </c>
      <c r="F15" s="47">
        <f>F14/IS!F9*365</f>
        <v>49.71352797510832</v>
      </c>
      <c r="G15" s="47">
        <f>G14/IS!G9*365</f>
        <v>54.35996044139911</v>
      </c>
      <c r="H15" s="47">
        <f>H14/IS!H9*365</f>
        <v>57.149785737506285</v>
      </c>
      <c r="I15" s="47">
        <f>I14/IS!I9*365</f>
        <v>57.687878060717793</v>
      </c>
      <c r="J15" s="47">
        <f>Inputs!J88</f>
        <v>57</v>
      </c>
      <c r="K15" s="47">
        <f>Inputs!K88</f>
        <v>57</v>
      </c>
      <c r="L15" s="47">
        <f>Inputs!L88</f>
        <v>57</v>
      </c>
      <c r="M15" s="47">
        <f>Inputs!M88</f>
        <v>57</v>
      </c>
      <c r="N15" s="47">
        <f>Inputs!N88</f>
        <v>57</v>
      </c>
      <c r="O15" s="47">
        <f>Inputs!O88</f>
        <v>57</v>
      </c>
      <c r="P15" s="47">
        <f>Inputs!P88</f>
        <v>57</v>
      </c>
      <c r="Q15" s="47">
        <f>Inputs!Q88</f>
        <v>57</v>
      </c>
      <c r="R15" s="47">
        <f>Inputs!R88</f>
        <v>57</v>
      </c>
      <c r="S15" s="47">
        <f>Inputs!S88</f>
        <v>57</v>
      </c>
    </row>
    <row r="16" spans="2:19" x14ac:dyDescent="0.2">
      <c r="B16" t="s">
        <v>332</v>
      </c>
      <c r="E16" s="16">
        <f>Hist!E47</f>
        <v>166.887</v>
      </c>
      <c r="F16" s="16">
        <f>Hist!F47</f>
        <v>239.42400000000001</v>
      </c>
      <c r="G16" s="16">
        <f>Hist!G47</f>
        <v>285.77100000000002</v>
      </c>
      <c r="H16" s="16">
        <f>Hist!H47</f>
        <v>298.06799999999998</v>
      </c>
      <c r="I16" s="16">
        <f>Hist!I47</f>
        <v>300.959</v>
      </c>
      <c r="J16" s="21">
        <f>IS!J7*Inputs!J97</f>
        <v>303.69792325999998</v>
      </c>
      <c r="K16" s="21">
        <f>IS!K7*Inputs!K97</f>
        <v>314.34881253880002</v>
      </c>
      <c r="L16" s="21">
        <f>IS!L7*Inputs!L97</f>
        <v>327.33131231804396</v>
      </c>
      <c r="M16" s="21">
        <f>IS!M7*Inputs!M97</f>
        <v>340.85812558107324</v>
      </c>
      <c r="N16" s="21">
        <f>IS!N7*Inputs!N97</f>
        <v>354.11412645805774</v>
      </c>
      <c r="O16" s="21">
        <f>IS!O7*Inputs!O97</f>
        <v>367.22047942371182</v>
      </c>
      <c r="P16" s="21">
        <f>IS!P7*Inputs!P97</f>
        <v>380.08017186641098</v>
      </c>
      <c r="Q16" s="21">
        <f>IS!Q7*Inputs!Q97</f>
        <v>392.59604549878344</v>
      </c>
      <c r="R16" s="21">
        <f>IS!R7*Inputs!R97</f>
        <v>404.67311974549659</v>
      </c>
      <c r="S16" s="21">
        <f>IS!S7*Inputs!S97</f>
        <v>416.22115050864869</v>
      </c>
    </row>
    <row r="17" spans="2:19" x14ac:dyDescent="0.2">
      <c r="B17" t="s">
        <v>333</v>
      </c>
      <c r="E17" s="16">
        <f>Hist!E48</f>
        <v>16.279</v>
      </c>
      <c r="F17" s="16">
        <f>Hist!F48</f>
        <v>89.210999999999999</v>
      </c>
      <c r="G17" s="16">
        <f>Hist!G48</f>
        <v>65.951999999999998</v>
      </c>
      <c r="H17" s="16">
        <f>Hist!H48</f>
        <v>108.688</v>
      </c>
      <c r="I17" s="16">
        <f>Hist!I48</f>
        <v>47.308</v>
      </c>
      <c r="J17" s="21">
        <f t="shared" ref="J17:S17" si="1">I17</f>
        <v>47.308</v>
      </c>
      <c r="K17" s="21">
        <f t="shared" si="1"/>
        <v>47.308</v>
      </c>
      <c r="L17" s="21">
        <f t="shared" si="1"/>
        <v>47.308</v>
      </c>
      <c r="M17" s="21">
        <f t="shared" si="1"/>
        <v>47.308</v>
      </c>
      <c r="N17" s="21">
        <f t="shared" si="1"/>
        <v>47.308</v>
      </c>
      <c r="O17" s="21">
        <f t="shared" si="1"/>
        <v>47.308</v>
      </c>
      <c r="P17" s="21">
        <f t="shared" si="1"/>
        <v>47.308</v>
      </c>
      <c r="Q17" s="21">
        <f t="shared" si="1"/>
        <v>47.308</v>
      </c>
      <c r="R17" s="21">
        <f t="shared" si="1"/>
        <v>47.308</v>
      </c>
      <c r="S17" s="21">
        <f t="shared" si="1"/>
        <v>47.308</v>
      </c>
    </row>
    <row r="18" spans="2:19" x14ac:dyDescent="0.2">
      <c r="B18" t="s">
        <v>336</v>
      </c>
      <c r="E18" s="16">
        <f>Hist!E51</f>
        <v>0</v>
      </c>
      <c r="F18" s="16">
        <f>Hist!F51</f>
        <v>0</v>
      </c>
      <c r="G18" s="16">
        <f>Hist!G51</f>
        <v>0</v>
      </c>
      <c r="H18" s="16">
        <f>Hist!H51</f>
        <v>0</v>
      </c>
      <c r="I18" s="16">
        <f>Hist!I51</f>
        <v>0</v>
      </c>
      <c r="J18" s="21">
        <f t="shared" ref="J18:S18" si="2">I18</f>
        <v>0</v>
      </c>
      <c r="K18" s="21">
        <f t="shared" si="2"/>
        <v>0</v>
      </c>
      <c r="L18" s="21">
        <f t="shared" si="2"/>
        <v>0</v>
      </c>
      <c r="M18" s="21">
        <f t="shared" si="2"/>
        <v>0</v>
      </c>
      <c r="N18" s="21">
        <f t="shared" si="2"/>
        <v>0</v>
      </c>
      <c r="O18" s="21">
        <f t="shared" si="2"/>
        <v>0</v>
      </c>
      <c r="P18" s="21">
        <f t="shared" si="2"/>
        <v>0</v>
      </c>
      <c r="Q18" s="21">
        <f t="shared" si="2"/>
        <v>0</v>
      </c>
      <c r="R18" s="21">
        <f t="shared" si="2"/>
        <v>0</v>
      </c>
      <c r="S18" s="21">
        <f t="shared" si="2"/>
        <v>0</v>
      </c>
    </row>
    <row r="19" spans="2:19" x14ac:dyDescent="0.2">
      <c r="B19" s="3" t="s">
        <v>390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2:19" x14ac:dyDescent="0.2">
      <c r="B20" s="1" t="s">
        <v>391</v>
      </c>
      <c r="E20" s="42">
        <f t="shared" ref="E20:S20" si="3">E7+E9+E11+E12-E14-E16-E17-E18</f>
        <v>108.06099999999998</v>
      </c>
      <c r="F20" s="42">
        <f t="shared" si="3"/>
        <v>274.88999999999987</v>
      </c>
      <c r="G20" s="42">
        <f t="shared" si="3"/>
        <v>148.71499999999992</v>
      </c>
      <c r="H20" s="42">
        <f t="shared" si="3"/>
        <v>20.127000000000109</v>
      </c>
      <c r="I20" s="42">
        <f t="shared" si="3"/>
        <v>141.17200000000003</v>
      </c>
      <c r="J20" s="42">
        <f t="shared" si="3"/>
        <v>150.02512256863025</v>
      </c>
      <c r="K20" s="42">
        <f t="shared" si="3"/>
        <v>155.05753540484653</v>
      </c>
      <c r="L20" s="42">
        <f t="shared" si="3"/>
        <v>161.37806326974464</v>
      </c>
      <c r="M20" s="42">
        <f t="shared" si="3"/>
        <v>168.50237501820646</v>
      </c>
      <c r="N20" s="42">
        <f t="shared" si="3"/>
        <v>175.51671636779122</v>
      </c>
      <c r="O20" s="42">
        <f t="shared" si="3"/>
        <v>182.45851443057109</v>
      </c>
      <c r="P20" s="42">
        <f t="shared" si="3"/>
        <v>189.27787885061855</v>
      </c>
      <c r="Q20" s="42">
        <f t="shared" si="3"/>
        <v>195.92485536761689</v>
      </c>
      <c r="R20" s="42">
        <f t="shared" si="3"/>
        <v>202.35061727549999</v>
      </c>
      <c r="S20" s="42">
        <f t="shared" si="3"/>
        <v>208.50879936723203</v>
      </c>
    </row>
    <row r="21" spans="2:19" x14ac:dyDescent="0.2">
      <c r="B21" s="17" t="s">
        <v>282</v>
      </c>
      <c r="E21" s="18">
        <f>E20/IS!E7</f>
        <v>4.6710578642146491E-2</v>
      </c>
      <c r="F21" s="18">
        <f>F20/IS!F7</f>
        <v>7.732522078152225E-2</v>
      </c>
      <c r="G21" s="18">
        <f>G20/IS!G7</f>
        <v>3.753204855607041E-2</v>
      </c>
      <c r="H21" s="18">
        <f>H20/IS!H7</f>
        <v>4.9065017303298961E-3</v>
      </c>
      <c r="I21" s="18">
        <f>I20/IS!I7</f>
        <v>3.4937969092573545E-2</v>
      </c>
      <c r="J21" s="18">
        <f>J20/IS!J7</f>
        <v>3.6555597584953463E-2</v>
      </c>
      <c r="K21" s="18">
        <f>K20/IS!K7</f>
        <v>3.6501673180465335E-2</v>
      </c>
      <c r="L21" s="18">
        <f>L20/IS!L7</f>
        <v>3.6482842406344418E-2</v>
      </c>
      <c r="M21" s="18">
        <f>M20/IS!M7</f>
        <v>3.6581717775073193E-2</v>
      </c>
      <c r="N21" s="18">
        <f>N20/IS!N7</f>
        <v>3.6678110362690974E-2</v>
      </c>
      <c r="O21" s="18">
        <f>O20/IS!O7</f>
        <v>3.6767911443967322E-2</v>
      </c>
      <c r="P21" s="18">
        <f>P20/IS!P7</f>
        <v>3.6851601508612088E-2</v>
      </c>
      <c r="Q21" s="18">
        <f>Q20/IS!Q7</f>
        <v>3.6929662087614119E-2</v>
      </c>
      <c r="R21" s="18">
        <f>R20/IS!R7</f>
        <v>3.7002570587846999E-2</v>
      </c>
      <c r="S21" s="18">
        <f>S20/IS!S7</f>
        <v>3.7070800304883966E-2</v>
      </c>
    </row>
    <row r="22" spans="2:19" x14ac:dyDescent="0.2">
      <c r="B22" t="s">
        <v>392</v>
      </c>
      <c r="E22" s="48">
        <f t="shared" ref="E22:S22" si="4">E8+E10-E15</f>
        <v>49.808485194584676</v>
      </c>
      <c r="F22" s="48">
        <f t="shared" si="4"/>
        <v>82.19714008674174</v>
      </c>
      <c r="G22" s="48">
        <f t="shared" si="4"/>
        <v>54.00872903975602</v>
      </c>
      <c r="H22" s="48">
        <f t="shared" si="4"/>
        <v>42.634481406320226</v>
      </c>
      <c r="I22" s="48">
        <f t="shared" si="4"/>
        <v>47.372430643654809</v>
      </c>
      <c r="J22" s="48">
        <f t="shared" si="4"/>
        <v>48</v>
      </c>
      <c r="K22" s="48">
        <f t="shared" si="4"/>
        <v>48</v>
      </c>
      <c r="L22" s="48">
        <f t="shared" si="4"/>
        <v>48</v>
      </c>
      <c r="M22" s="48">
        <f t="shared" si="4"/>
        <v>48</v>
      </c>
      <c r="N22" s="48">
        <f t="shared" si="4"/>
        <v>48</v>
      </c>
      <c r="O22" s="48">
        <f t="shared" si="4"/>
        <v>48</v>
      </c>
      <c r="P22" s="48">
        <f t="shared" si="4"/>
        <v>48</v>
      </c>
      <c r="Q22" s="48">
        <f t="shared" si="4"/>
        <v>48</v>
      </c>
      <c r="R22" s="48">
        <f t="shared" si="4"/>
        <v>48</v>
      </c>
      <c r="S22" s="48">
        <f t="shared" si="4"/>
        <v>48</v>
      </c>
    </row>
    <row r="23" spans="2:19" x14ac:dyDescent="0.2">
      <c r="B23" t="s">
        <v>393</v>
      </c>
      <c r="J23" s="21">
        <f t="shared" ref="J23:S23" si="5">I20-J20</f>
        <v>-8.8531225686302264</v>
      </c>
      <c r="K23" s="21">
        <f t="shared" si="5"/>
        <v>-5.032412836216281</v>
      </c>
      <c r="L23" s="21">
        <f t="shared" si="5"/>
        <v>-6.3205278648981107</v>
      </c>
      <c r="M23" s="21">
        <f t="shared" si="5"/>
        <v>-7.124311748461821</v>
      </c>
      <c r="N23" s="21">
        <f t="shared" si="5"/>
        <v>-7.014341349584754</v>
      </c>
      <c r="O23" s="21">
        <f t="shared" si="5"/>
        <v>-6.941798062779867</v>
      </c>
      <c r="P23" s="21">
        <f t="shared" si="5"/>
        <v>-6.8193644200474637</v>
      </c>
      <c r="Q23" s="21">
        <f t="shared" si="5"/>
        <v>-6.6469765169983361</v>
      </c>
      <c r="R23" s="21">
        <f t="shared" si="5"/>
        <v>-6.4257619078830999</v>
      </c>
      <c r="S23" s="21">
        <f t="shared" si="5"/>
        <v>-6.1581820917320442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S26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394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395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t="s">
        <v>396</v>
      </c>
      <c r="F7" s="21">
        <f t="shared" ref="F7:S7" si="0">E11</f>
        <v>108.398</v>
      </c>
      <c r="G7" s="21">
        <f t="shared" si="0"/>
        <v>181.529</v>
      </c>
      <c r="H7" s="21">
        <f t="shared" si="0"/>
        <v>238.315</v>
      </c>
      <c r="I7" s="21">
        <f t="shared" si="0"/>
        <v>244.33500000000001</v>
      </c>
      <c r="J7" s="21">
        <f t="shared" si="0"/>
        <v>238.191</v>
      </c>
      <c r="K7" s="21">
        <f t="shared" si="0"/>
        <v>249.07148583999998</v>
      </c>
      <c r="L7" s="21">
        <f t="shared" si="0"/>
        <v>259.752354916</v>
      </c>
      <c r="M7" s="21">
        <f t="shared" si="0"/>
        <v>270.78365108381598</v>
      </c>
      <c r="N7" s="21">
        <f t="shared" si="0"/>
        <v>282.20246551422986</v>
      </c>
      <c r="O7" s="21">
        <f t="shared" si="0"/>
        <v>293.86111497742894</v>
      </c>
      <c r="P7" s="21">
        <f t="shared" si="0"/>
        <v>305.67208111072011</v>
      </c>
      <c r="Q7" s="21">
        <f t="shared" si="0"/>
        <v>317.54699907501902</v>
      </c>
      <c r="R7" s="21">
        <f t="shared" si="0"/>
        <v>329.39682074696105</v>
      </c>
      <c r="S7" s="21">
        <f t="shared" si="0"/>
        <v>341.13244273094307</v>
      </c>
    </row>
    <row r="8" spans="2:19" x14ac:dyDescent="0.2">
      <c r="B8" t="s">
        <v>365</v>
      </c>
      <c r="E8" s="21">
        <f>-Hist!E70</f>
        <v>55.915999999999997</v>
      </c>
      <c r="F8" s="21">
        <f>-Hist!F70</f>
        <v>104.19</v>
      </c>
      <c r="G8" s="21">
        <f>-Hist!G70</f>
        <v>115.625</v>
      </c>
      <c r="H8" s="21">
        <f>-Hist!H70</f>
        <v>69.346999999999994</v>
      </c>
      <c r="I8" s="21">
        <f>-Hist!I70</f>
        <v>51.231000000000002</v>
      </c>
      <c r="J8" s="21">
        <f>IS!J7*Inputs!J92</f>
        <v>65.664415840000004</v>
      </c>
      <c r="K8" s="21">
        <f>IS!K7*Inputs!K92</f>
        <v>67.967310819200009</v>
      </c>
      <c r="L8" s="21">
        <f>IS!L7*Inputs!L92</f>
        <v>70.774337798495992</v>
      </c>
      <c r="M8" s="21">
        <f>IS!M7*Inputs!M92</f>
        <v>73.699054179691515</v>
      </c>
      <c r="N8" s="21">
        <f>IS!N7*Inputs!N92</f>
        <v>76.565216531471947</v>
      </c>
      <c r="O8" s="21">
        <f>IS!O7*Inputs!O92</f>
        <v>79.39902257809986</v>
      </c>
      <c r="P8" s="21">
        <f>IS!P7*Inputs!P92</f>
        <v>82.179496619764549</v>
      </c>
      <c r="Q8" s="21">
        <f>IS!Q7*Inputs!Q92</f>
        <v>84.885631459196418</v>
      </c>
      <c r="R8" s="21">
        <f>IS!R7*Inputs!R92</f>
        <v>87.496890755783056</v>
      </c>
      <c r="S8" s="21">
        <f>IS!S7*Inputs!S92</f>
        <v>89.993762272140259</v>
      </c>
    </row>
    <row r="9" spans="2:19" x14ac:dyDescent="0.2">
      <c r="B9" t="s">
        <v>397</v>
      </c>
      <c r="E9" s="21">
        <f>Hist!E21-Hist!E22</f>
        <v>14.942</v>
      </c>
      <c r="F9" s="21">
        <f>Hist!F21-Hist!F22</f>
        <v>19.641999999999999</v>
      </c>
      <c r="G9" s="21">
        <f>Hist!G21-Hist!G22</f>
        <v>31.685000000000002</v>
      </c>
      <c r="H9" s="21">
        <f>Hist!H21-Hist!H22</f>
        <v>46.906000000000006</v>
      </c>
      <c r="I9" s="21">
        <f>Hist!I21-Hist!I22</f>
        <v>55.710999999999999</v>
      </c>
      <c r="J9" s="21">
        <f>J7*Inputs!J99</f>
        <v>54.783930000000005</v>
      </c>
      <c r="K9" s="21">
        <f>K7*Inputs!K99</f>
        <v>57.286441743200001</v>
      </c>
      <c r="L9" s="21">
        <f>L7*Inputs!L99</f>
        <v>59.743041630680004</v>
      </c>
      <c r="M9" s="21">
        <f>M7*Inputs!M99</f>
        <v>62.280239749277676</v>
      </c>
      <c r="N9" s="21">
        <f>N7*Inputs!N99</f>
        <v>64.906567068272864</v>
      </c>
      <c r="O9" s="21">
        <f>O7*Inputs!O99</f>
        <v>67.588056444808657</v>
      </c>
      <c r="P9" s="21">
        <f>P7*Inputs!P99</f>
        <v>70.304578655465633</v>
      </c>
      <c r="Q9" s="21">
        <f>Q7*Inputs!Q99</f>
        <v>73.035809787254379</v>
      </c>
      <c r="R9" s="21">
        <f>R7*Inputs!R99</f>
        <v>75.761268771801042</v>
      </c>
      <c r="S9" s="21">
        <f>S7*Inputs!S99</f>
        <v>78.460461828116905</v>
      </c>
    </row>
    <row r="10" spans="2:19" x14ac:dyDescent="0.2">
      <c r="B10" t="s">
        <v>398</v>
      </c>
      <c r="F10" s="21">
        <f>F11-F7-F8+F9</f>
        <v>-11.416999999999998</v>
      </c>
      <c r="G10" s="21">
        <f>G11-G7-G8+G9</f>
        <v>-27.153999999999996</v>
      </c>
      <c r="H10" s="21">
        <f>H11-H7-H8+H9</f>
        <v>-16.420999999999978</v>
      </c>
      <c r="I10" s="21">
        <f>I11-I7-I8+I9</f>
        <v>-1.6640000000000086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</row>
    <row r="11" spans="2:19" x14ac:dyDescent="0.2">
      <c r="B11" s="1" t="s">
        <v>399</v>
      </c>
      <c r="E11" s="42">
        <f>Hist!E38</f>
        <v>108.398</v>
      </c>
      <c r="F11" s="42">
        <f>Hist!F38</f>
        <v>181.529</v>
      </c>
      <c r="G11" s="42">
        <f>Hist!G38</f>
        <v>238.315</v>
      </c>
      <c r="H11" s="42">
        <f>Hist!H38</f>
        <v>244.33500000000001</v>
      </c>
      <c r="I11" s="42">
        <f>Hist!I38</f>
        <v>238.191</v>
      </c>
      <c r="J11" s="42">
        <f t="shared" ref="J11:S11" si="1">J7+J8-J9+J10</f>
        <v>249.07148583999998</v>
      </c>
      <c r="K11" s="42">
        <f t="shared" si="1"/>
        <v>259.752354916</v>
      </c>
      <c r="L11" s="42">
        <f t="shared" si="1"/>
        <v>270.78365108381598</v>
      </c>
      <c r="M11" s="42">
        <f t="shared" si="1"/>
        <v>282.20246551422986</v>
      </c>
      <c r="N11" s="42">
        <f t="shared" si="1"/>
        <v>293.86111497742894</v>
      </c>
      <c r="O11" s="42">
        <f t="shared" si="1"/>
        <v>305.67208111072011</v>
      </c>
      <c r="P11" s="42">
        <f t="shared" si="1"/>
        <v>317.54699907501902</v>
      </c>
      <c r="Q11" s="42">
        <f t="shared" si="1"/>
        <v>329.39682074696105</v>
      </c>
      <c r="R11" s="42">
        <f t="shared" si="1"/>
        <v>341.13244273094307</v>
      </c>
      <c r="S11" s="42">
        <f t="shared" si="1"/>
        <v>352.66574317496645</v>
      </c>
    </row>
    <row r="12" spans="2:19" x14ac:dyDescent="0.2">
      <c r="B12" s="17" t="s">
        <v>400</v>
      </c>
      <c r="E12" s="46">
        <f t="shared" ref="E12:S12" si="2">E8/E9</f>
        <v>3.7422031856511841</v>
      </c>
      <c r="F12" s="46">
        <f t="shared" si="2"/>
        <v>5.3044496487119437</v>
      </c>
      <c r="G12" s="46">
        <f t="shared" si="2"/>
        <v>3.6492030929461889</v>
      </c>
      <c r="H12" s="46">
        <f t="shared" si="2"/>
        <v>1.4784249349763354</v>
      </c>
      <c r="I12" s="46">
        <f t="shared" si="2"/>
        <v>0.91958500116673558</v>
      </c>
      <c r="J12" s="46">
        <f t="shared" si="2"/>
        <v>1.1986072528933212</v>
      </c>
      <c r="K12" s="46">
        <f t="shared" si="2"/>
        <v>1.1864467184727501</v>
      </c>
      <c r="L12" s="46">
        <f t="shared" si="2"/>
        <v>1.1846457071270213</v>
      </c>
      <c r="M12" s="46">
        <f t="shared" si="2"/>
        <v>1.1833457044542972</v>
      </c>
      <c r="N12" s="46">
        <f t="shared" si="2"/>
        <v>1.1796220319422497</v>
      </c>
      <c r="O12" s="46">
        <f t="shared" si="2"/>
        <v>1.1747493085991583</v>
      </c>
      <c r="P12" s="46">
        <f t="shared" si="2"/>
        <v>1.1689067510452356</v>
      </c>
      <c r="Q12" s="46">
        <f t="shared" si="2"/>
        <v>1.1622467349435752</v>
      </c>
      <c r="R12" s="46">
        <f t="shared" si="2"/>
        <v>1.1549026590266147</v>
      </c>
      <c r="S12" s="46">
        <f t="shared" si="2"/>
        <v>1.1469950619114289</v>
      </c>
    </row>
    <row r="13" spans="2:19" x14ac:dyDescent="0.2">
      <c r="B13" s="3" t="s">
        <v>401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2:19" x14ac:dyDescent="0.2">
      <c r="B14" t="s">
        <v>402</v>
      </c>
      <c r="F14" s="21">
        <f t="shared" ref="F14:S14" si="3">E16</f>
        <v>24.984000000000002</v>
      </c>
      <c r="G14" s="21">
        <f t="shared" si="3"/>
        <v>222.405</v>
      </c>
      <c r="H14" s="21">
        <f t="shared" si="3"/>
        <v>212.78700000000001</v>
      </c>
      <c r="I14" s="21">
        <f t="shared" si="3"/>
        <v>193.44300000000001</v>
      </c>
      <c r="J14" s="21">
        <f t="shared" si="3"/>
        <v>181.23099999999999</v>
      </c>
      <c r="K14" s="21">
        <f t="shared" si="3"/>
        <v>158.73099999999999</v>
      </c>
      <c r="L14" s="21">
        <f t="shared" si="3"/>
        <v>138.33099999999999</v>
      </c>
      <c r="M14" s="21">
        <f t="shared" si="3"/>
        <v>119.83099999999999</v>
      </c>
      <c r="N14" s="21">
        <f t="shared" si="3"/>
        <v>103.13099999999999</v>
      </c>
      <c r="O14" s="21">
        <f t="shared" si="3"/>
        <v>88.23099999999998</v>
      </c>
      <c r="P14" s="21">
        <f t="shared" si="3"/>
        <v>73.530999999999977</v>
      </c>
      <c r="Q14" s="21">
        <f t="shared" si="3"/>
        <v>58.830999999999975</v>
      </c>
      <c r="R14" s="21">
        <f t="shared" si="3"/>
        <v>44.130999999999972</v>
      </c>
      <c r="S14" s="21">
        <f t="shared" si="3"/>
        <v>29.430999999999973</v>
      </c>
    </row>
    <row r="15" spans="2:19" x14ac:dyDescent="0.2">
      <c r="B15" t="s">
        <v>403</v>
      </c>
      <c r="E15" s="16">
        <f>Hist!E22</f>
        <v>17.033999999999999</v>
      </c>
      <c r="F15" s="16">
        <f>Hist!F22</f>
        <v>19.587</v>
      </c>
      <c r="G15" s="16">
        <f>Hist!G22</f>
        <v>22.619</v>
      </c>
      <c r="H15" s="16">
        <f>Hist!H22</f>
        <v>22.934000000000001</v>
      </c>
      <c r="I15" s="16">
        <f>Hist!I22</f>
        <v>23.571000000000002</v>
      </c>
      <c r="J15" s="21">
        <f>MIN(J14,Inputs!J106)</f>
        <v>22.5</v>
      </c>
      <c r="K15" s="21">
        <f>MIN(K14,Inputs!K106)</f>
        <v>20.399999999999999</v>
      </c>
      <c r="L15" s="21">
        <f>MIN(L14,Inputs!L106)</f>
        <v>18.5</v>
      </c>
      <c r="M15" s="21">
        <f>MIN(M14,Inputs!M106)</f>
        <v>16.7</v>
      </c>
      <c r="N15" s="21">
        <f>MIN(N14,Inputs!N106)</f>
        <v>14.9</v>
      </c>
      <c r="O15" s="21">
        <f>MIN(O14,Inputs!O106)</f>
        <v>14.7</v>
      </c>
      <c r="P15" s="21">
        <f>MIN(P14,Inputs!P106)</f>
        <v>14.7</v>
      </c>
      <c r="Q15" s="21">
        <f>MIN(Q14,Inputs!Q106)</f>
        <v>14.7</v>
      </c>
      <c r="R15" s="21">
        <f>MIN(R14,Inputs!R106)</f>
        <v>14.7</v>
      </c>
      <c r="S15" s="21">
        <f>MIN(S14,Inputs!S106)</f>
        <v>14.7</v>
      </c>
    </row>
    <row r="16" spans="2:19" x14ac:dyDescent="0.2">
      <c r="B16" s="1" t="s">
        <v>404</v>
      </c>
      <c r="E16" s="41">
        <f>Hist!E42</f>
        <v>24.984000000000002</v>
      </c>
      <c r="F16" s="41">
        <f>Hist!F42</f>
        <v>222.405</v>
      </c>
      <c r="G16" s="41">
        <f>Hist!G42</f>
        <v>212.78700000000001</v>
      </c>
      <c r="H16" s="41">
        <f>Hist!H42</f>
        <v>193.44300000000001</v>
      </c>
      <c r="I16" s="41">
        <f>Hist!I42</f>
        <v>181.23099999999999</v>
      </c>
      <c r="J16" s="41">
        <f t="shared" ref="J16:S16" si="4">J14-J15</f>
        <v>158.73099999999999</v>
      </c>
      <c r="K16" s="41">
        <f t="shared" si="4"/>
        <v>138.33099999999999</v>
      </c>
      <c r="L16" s="41">
        <f t="shared" si="4"/>
        <v>119.83099999999999</v>
      </c>
      <c r="M16" s="41">
        <f t="shared" si="4"/>
        <v>103.13099999999999</v>
      </c>
      <c r="N16" s="41">
        <f t="shared" si="4"/>
        <v>88.23099999999998</v>
      </c>
      <c r="O16" s="41">
        <f t="shared" si="4"/>
        <v>73.530999999999977</v>
      </c>
      <c r="P16" s="41">
        <f t="shared" si="4"/>
        <v>58.830999999999975</v>
      </c>
      <c r="Q16" s="41">
        <f t="shared" si="4"/>
        <v>44.130999999999972</v>
      </c>
      <c r="R16" s="41">
        <f t="shared" si="4"/>
        <v>29.430999999999973</v>
      </c>
      <c r="S16" s="41">
        <f t="shared" si="4"/>
        <v>14.730999999999973</v>
      </c>
    </row>
    <row r="17" spans="2:19" x14ac:dyDescent="0.2">
      <c r="B17" t="s">
        <v>405</v>
      </c>
      <c r="E17" s="21">
        <f>Hist!E41-Hist!E42</f>
        <v>3.8179999999999978</v>
      </c>
      <c r="F17" s="21">
        <f>Hist!F41-Hist!F42</f>
        <v>1577.7619999999999</v>
      </c>
      <c r="G17" s="21">
        <f>Hist!G41-Hist!G42</f>
        <v>1579.7749999999999</v>
      </c>
      <c r="H17" s="21">
        <f>Hist!H41-Hist!H42</f>
        <v>1583.6369999999999</v>
      </c>
      <c r="I17" s="21">
        <f>Hist!I41-Hist!I42</f>
        <v>1143.4490000000001</v>
      </c>
      <c r="J17" s="21">
        <f t="shared" ref="J17:S17" si="5">I17</f>
        <v>1143.4490000000001</v>
      </c>
      <c r="K17" s="21">
        <f t="shared" si="5"/>
        <v>1143.4490000000001</v>
      </c>
      <c r="L17" s="21">
        <f t="shared" si="5"/>
        <v>1143.4490000000001</v>
      </c>
      <c r="M17" s="21">
        <f t="shared" si="5"/>
        <v>1143.4490000000001</v>
      </c>
      <c r="N17" s="21">
        <f t="shared" si="5"/>
        <v>1143.4490000000001</v>
      </c>
      <c r="O17" s="21">
        <f t="shared" si="5"/>
        <v>1143.4490000000001</v>
      </c>
      <c r="P17" s="21">
        <f t="shared" si="5"/>
        <v>1143.4490000000001</v>
      </c>
      <c r="Q17" s="21">
        <f t="shared" si="5"/>
        <v>1143.4490000000001</v>
      </c>
      <c r="R17" s="21">
        <f t="shared" si="5"/>
        <v>1143.4490000000001</v>
      </c>
      <c r="S17" s="21">
        <f t="shared" si="5"/>
        <v>1143.4490000000001</v>
      </c>
    </row>
    <row r="18" spans="2:19" x14ac:dyDescent="0.2">
      <c r="B18" s="1" t="s">
        <v>326</v>
      </c>
      <c r="E18" s="42">
        <f t="shared" ref="E18:S18" si="6">E16+E17</f>
        <v>28.802</v>
      </c>
      <c r="F18" s="42">
        <f t="shared" si="6"/>
        <v>1800.1669999999999</v>
      </c>
      <c r="G18" s="42">
        <f t="shared" si="6"/>
        <v>1792.5619999999999</v>
      </c>
      <c r="H18" s="42">
        <f t="shared" si="6"/>
        <v>1777.08</v>
      </c>
      <c r="I18" s="42">
        <f t="shared" si="6"/>
        <v>1324.68</v>
      </c>
      <c r="J18" s="42">
        <f t="shared" si="6"/>
        <v>1302.18</v>
      </c>
      <c r="K18" s="42">
        <f t="shared" si="6"/>
        <v>1281.78</v>
      </c>
      <c r="L18" s="42">
        <f t="shared" si="6"/>
        <v>1263.28</v>
      </c>
      <c r="M18" s="42">
        <f t="shared" si="6"/>
        <v>1246.5800000000002</v>
      </c>
      <c r="N18" s="42">
        <f t="shared" si="6"/>
        <v>1231.68</v>
      </c>
      <c r="O18" s="42">
        <f t="shared" si="6"/>
        <v>1216.98</v>
      </c>
      <c r="P18" s="42">
        <f t="shared" si="6"/>
        <v>1202.28</v>
      </c>
      <c r="Q18" s="42">
        <f t="shared" si="6"/>
        <v>1187.58</v>
      </c>
      <c r="R18" s="42">
        <f t="shared" si="6"/>
        <v>1172.8800000000001</v>
      </c>
      <c r="S18" s="42">
        <f t="shared" si="6"/>
        <v>1158.18</v>
      </c>
    </row>
    <row r="19" spans="2:19" x14ac:dyDescent="0.2">
      <c r="B19" t="s">
        <v>325</v>
      </c>
      <c r="E19" s="16">
        <f>Hist!E40</f>
        <v>1.6</v>
      </c>
      <c r="F19" s="16">
        <f>Hist!F40</f>
        <v>714.81399999999996</v>
      </c>
      <c r="G19" s="16">
        <f>Hist!G40</f>
        <v>711.58799999999997</v>
      </c>
      <c r="H19" s="16">
        <f>Hist!H40</f>
        <v>711.49099999999999</v>
      </c>
      <c r="I19" s="16">
        <f>Hist!I40</f>
        <v>404.68900000000002</v>
      </c>
      <c r="J19" s="21">
        <f t="shared" ref="J19:S19" si="7">I19</f>
        <v>404.68900000000002</v>
      </c>
      <c r="K19" s="21">
        <f t="shared" si="7"/>
        <v>404.68900000000002</v>
      </c>
      <c r="L19" s="21">
        <f t="shared" si="7"/>
        <v>404.68900000000002</v>
      </c>
      <c r="M19" s="21">
        <f t="shared" si="7"/>
        <v>404.68900000000002</v>
      </c>
      <c r="N19" s="21">
        <f t="shared" si="7"/>
        <v>404.68900000000002</v>
      </c>
      <c r="O19" s="21">
        <f t="shared" si="7"/>
        <v>404.68900000000002</v>
      </c>
      <c r="P19" s="21">
        <f t="shared" si="7"/>
        <v>404.68900000000002</v>
      </c>
      <c r="Q19" s="21">
        <f t="shared" si="7"/>
        <v>404.68900000000002</v>
      </c>
      <c r="R19" s="21">
        <f t="shared" si="7"/>
        <v>404.68900000000002</v>
      </c>
      <c r="S19" s="21">
        <f t="shared" si="7"/>
        <v>404.68900000000002</v>
      </c>
    </row>
    <row r="20" spans="2:19" x14ac:dyDescent="0.2">
      <c r="B20" s="3" t="s">
        <v>406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2:19" x14ac:dyDescent="0.2">
      <c r="B21" t="s">
        <v>407</v>
      </c>
      <c r="E21" s="21">
        <f>Hist!E49+Hist!E54</f>
        <v>192.16899999999998</v>
      </c>
      <c r="F21" s="21">
        <f>Hist!F49+Hist!F54</f>
        <v>272.57499999999999</v>
      </c>
      <c r="G21" s="21">
        <f>Hist!G49+Hist!G54</f>
        <v>332.036</v>
      </c>
      <c r="H21" s="21">
        <f>Hist!H49+Hist!H54</f>
        <v>351.95699999999999</v>
      </c>
      <c r="I21" s="21">
        <f>Hist!I49+Hist!I54</f>
        <v>382.964</v>
      </c>
      <c r="J21" s="21">
        <f>IS!J7*Inputs!J101</f>
        <v>389.88246905</v>
      </c>
      <c r="K21" s="21">
        <f>IS!K7*Inputs!K101</f>
        <v>403.55590798900005</v>
      </c>
      <c r="L21" s="21">
        <f>IS!L7*Inputs!L101</f>
        <v>420.22263067857</v>
      </c>
      <c r="M21" s="21">
        <f>IS!M7*Inputs!M101</f>
        <v>437.58813419191841</v>
      </c>
      <c r="N21" s="21">
        <f>IS!N7*Inputs!N101</f>
        <v>454.60597315561466</v>
      </c>
      <c r="O21" s="21">
        <f>IS!O7*Inputs!O101</f>
        <v>471.43169655746794</v>
      </c>
      <c r="P21" s="21">
        <f>IS!P7*Inputs!P101</f>
        <v>487.94076117985196</v>
      </c>
      <c r="Q21" s="21">
        <f>IS!Q7*Inputs!Q101</f>
        <v>504.00843678897871</v>
      </c>
      <c r="R21" s="21">
        <f>IS!R7*Inputs!R101</f>
        <v>519.51278886246189</v>
      </c>
      <c r="S21" s="21">
        <f>IS!S7*Inputs!S101</f>
        <v>534.33796349083275</v>
      </c>
    </row>
    <row r="22" spans="2:19" x14ac:dyDescent="0.2">
      <c r="B22" t="s">
        <v>324</v>
      </c>
      <c r="E22" s="16">
        <f>Hist!E39</f>
        <v>160.768</v>
      </c>
      <c r="F22" s="16">
        <f>Hist!F39</f>
        <v>239.905</v>
      </c>
      <c r="G22" s="16">
        <f>Hist!G39</f>
        <v>287.44</v>
      </c>
      <c r="H22" s="16">
        <f>Hist!H39</f>
        <v>307.22800000000001</v>
      </c>
      <c r="I22" s="16">
        <f>Hist!I39</f>
        <v>338.66899999999998</v>
      </c>
      <c r="J22" s="21">
        <f t="shared" ref="J22:S22" si="8">J21*$I$22/$I$21</f>
        <v>344.78725392124176</v>
      </c>
      <c r="K22" s="21">
        <f t="shared" si="8"/>
        <v>356.87917350645665</v>
      </c>
      <c r="L22" s="21">
        <f t="shared" si="8"/>
        <v>371.61816282804807</v>
      </c>
      <c r="M22" s="21">
        <f t="shared" si="8"/>
        <v>386.97510945844209</v>
      </c>
      <c r="N22" s="21">
        <f t="shared" si="8"/>
        <v>402.02460367720948</v>
      </c>
      <c r="O22" s="21">
        <f t="shared" si="8"/>
        <v>416.90420311418598</v>
      </c>
      <c r="P22" s="21">
        <f t="shared" si="8"/>
        <v>431.5037696703065</v>
      </c>
      <c r="Q22" s="21">
        <f t="shared" si="8"/>
        <v>445.71299986130975</v>
      </c>
      <c r="R22" s="21">
        <f t="shared" si="8"/>
        <v>459.42406255225325</v>
      </c>
      <c r="S22" s="21">
        <f t="shared" si="8"/>
        <v>472.53450391545113</v>
      </c>
    </row>
    <row r="23" spans="2:19" x14ac:dyDescent="0.2">
      <c r="B23" t="s">
        <v>408</v>
      </c>
      <c r="E23" s="16">
        <f>Hist!E49</f>
        <v>42.932000000000002</v>
      </c>
      <c r="F23" s="16">
        <f>Hist!F49</f>
        <v>57.456000000000003</v>
      </c>
      <c r="G23" s="16">
        <f>Hist!G49</f>
        <v>62.267000000000003</v>
      </c>
      <c r="H23" s="16">
        <f>Hist!H49</f>
        <v>68.551000000000002</v>
      </c>
      <c r="I23" s="16">
        <f>Hist!I49</f>
        <v>85.772000000000006</v>
      </c>
      <c r="J23" s="21">
        <f t="shared" ref="J23:S23" si="9">J21*$I$23/$I$21</f>
        <v>87.321521436366339</v>
      </c>
      <c r="K23" s="21">
        <f t="shared" si="9"/>
        <v>90.383945592882128</v>
      </c>
      <c r="L23" s="21">
        <f t="shared" si="9"/>
        <v>94.116772016592449</v>
      </c>
      <c r="M23" s="21">
        <f t="shared" si="9"/>
        <v>98.00610356563341</v>
      </c>
      <c r="N23" s="21">
        <f t="shared" si="9"/>
        <v>101.81756909135945</v>
      </c>
      <c r="O23" s="21">
        <f t="shared" si="9"/>
        <v>105.58600671897918</v>
      </c>
      <c r="P23" s="21">
        <f t="shared" si="9"/>
        <v>109.2835226494351</v>
      </c>
      <c r="Q23" s="21">
        <f t="shared" si="9"/>
        <v>112.88218119787835</v>
      </c>
      <c r="R23" s="21">
        <f t="shared" si="9"/>
        <v>116.35467283167893</v>
      </c>
      <c r="S23" s="21">
        <f t="shared" si="9"/>
        <v>119.6750498859833</v>
      </c>
    </row>
    <row r="24" spans="2:19" x14ac:dyDescent="0.2">
      <c r="B24" t="s">
        <v>409</v>
      </c>
      <c r="E24" s="16">
        <f>Hist!E54</f>
        <v>149.23699999999999</v>
      </c>
      <c r="F24" s="16">
        <f>Hist!F54</f>
        <v>215.119</v>
      </c>
      <c r="G24" s="16">
        <f>Hist!G54</f>
        <v>269.76900000000001</v>
      </c>
      <c r="H24" s="16">
        <f>Hist!H54</f>
        <v>283.40600000000001</v>
      </c>
      <c r="I24" s="16">
        <f>Hist!I54</f>
        <v>297.19200000000001</v>
      </c>
      <c r="J24" s="21">
        <f t="shared" ref="J24:S24" si="10">J21-J23</f>
        <v>302.56094761363363</v>
      </c>
      <c r="K24" s="21">
        <f t="shared" si="10"/>
        <v>313.17196239611792</v>
      </c>
      <c r="L24" s="21">
        <f t="shared" si="10"/>
        <v>326.10585866197755</v>
      </c>
      <c r="M24" s="21">
        <f t="shared" si="10"/>
        <v>339.58203062628502</v>
      </c>
      <c r="N24" s="21">
        <f t="shared" si="10"/>
        <v>352.78840406425525</v>
      </c>
      <c r="O24" s="21">
        <f t="shared" si="10"/>
        <v>365.84568983848874</v>
      </c>
      <c r="P24" s="21">
        <f t="shared" si="10"/>
        <v>378.65723853041686</v>
      </c>
      <c r="Q24" s="21">
        <f t="shared" si="10"/>
        <v>391.12625559110035</v>
      </c>
      <c r="R24" s="21">
        <f t="shared" si="10"/>
        <v>403.15811603078294</v>
      </c>
      <c r="S24" s="21">
        <f t="shared" si="10"/>
        <v>414.66291360484945</v>
      </c>
    </row>
    <row r="25" spans="2:19" x14ac:dyDescent="0.2">
      <c r="B25" t="s">
        <v>410</v>
      </c>
      <c r="J25" s="21">
        <f t="shared" ref="J25:S25" si="11">(J21-J22)-(I21-I22)</f>
        <v>0.80021512875822509</v>
      </c>
      <c r="K25" s="21">
        <f t="shared" si="11"/>
        <v>1.5815193537851542</v>
      </c>
      <c r="L25" s="21">
        <f t="shared" si="11"/>
        <v>1.9277333679785329</v>
      </c>
      <c r="M25" s="21">
        <f t="shared" si="11"/>
        <v>2.0085568829543945</v>
      </c>
      <c r="N25" s="21">
        <f t="shared" si="11"/>
        <v>1.9683447449288565</v>
      </c>
      <c r="O25" s="21">
        <f t="shared" si="11"/>
        <v>1.9461239648767901</v>
      </c>
      <c r="P25" s="21">
        <f t="shared" si="11"/>
        <v>1.9094980662634953</v>
      </c>
      <c r="Q25" s="21">
        <f t="shared" si="11"/>
        <v>1.8584454181234946</v>
      </c>
      <c r="R25" s="21">
        <f t="shared" si="11"/>
        <v>1.7932893825396832</v>
      </c>
      <c r="S25" s="21">
        <f t="shared" si="11"/>
        <v>1.7147332651729812</v>
      </c>
    </row>
    <row r="26" spans="2:19" x14ac:dyDescent="0.2">
      <c r="B26" s="17" t="s">
        <v>411</v>
      </c>
      <c r="E26" s="44">
        <f>Hist!E24</f>
        <v>58.283000000000001</v>
      </c>
      <c r="F26" s="44">
        <f>Hist!F24</f>
        <v>66.012</v>
      </c>
      <c r="G26" s="44">
        <f>Hist!G24</f>
        <v>79.543000000000006</v>
      </c>
      <c r="H26" s="44">
        <f>Hist!H24</f>
        <v>85.13</v>
      </c>
      <c r="I26" s="44">
        <f>Hist!I24</f>
        <v>104.313</v>
      </c>
      <c r="J26" s="44">
        <f t="shared" ref="J26:S26" si="12">I26*J21/I21</f>
        <v>106.19747546508979</v>
      </c>
      <c r="K26" s="44">
        <f t="shared" si="12"/>
        <v>109.92189195343833</v>
      </c>
      <c r="L26" s="44">
        <f t="shared" si="12"/>
        <v>114.46162896244468</v>
      </c>
      <c r="M26" s="44">
        <f t="shared" si="12"/>
        <v>119.19170220167319</v>
      </c>
      <c r="N26" s="44">
        <f t="shared" si="12"/>
        <v>123.82707742185067</v>
      </c>
      <c r="O26" s="44">
        <f t="shared" si="12"/>
        <v>128.41012357035947</v>
      </c>
      <c r="P26" s="44">
        <f t="shared" si="12"/>
        <v>132.90691715397242</v>
      </c>
      <c r="Q26" s="44">
        <f t="shared" si="12"/>
        <v>137.28348373938212</v>
      </c>
      <c r="R26" s="44">
        <f t="shared" si="12"/>
        <v>141.50661039839252</v>
      </c>
      <c r="S26" s="44">
        <f t="shared" si="12"/>
        <v>145.54474046025015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S15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412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t="s">
        <v>289</v>
      </c>
      <c r="E6" s="16">
        <f>IS!E20</f>
        <v>663.84900000000027</v>
      </c>
      <c r="F6" s="16">
        <f>IS!F20</f>
        <v>718.50800000000015</v>
      </c>
      <c r="G6" s="16">
        <f>IS!G20</f>
        <v>876.27199999999959</v>
      </c>
      <c r="H6" s="16">
        <f>IS!H20</f>
        <v>910.58600000000013</v>
      </c>
      <c r="I6" s="16">
        <f>IS!I20</f>
        <v>72.977999999999867</v>
      </c>
      <c r="J6" s="16">
        <f ca="1">IS!J20</f>
        <v>826.99172750309583</v>
      </c>
      <c r="K6" s="16">
        <f ca="1">IS!K20</f>
        <v>897.21754245871307</v>
      </c>
      <c r="L6" s="16">
        <f ca="1">IS!L20</f>
        <v>966.56960457460843</v>
      </c>
      <c r="M6" s="16">
        <f ca="1">IS!M20</f>
        <v>1030.7640808835451</v>
      </c>
      <c r="N6" s="16">
        <f ca="1">IS!N20</f>
        <v>1083.8614084465817</v>
      </c>
      <c r="O6" s="16">
        <f ca="1">IS!O20</f>
        <v>1123.0959259739991</v>
      </c>
      <c r="P6" s="16">
        <f ca="1">IS!P20</f>
        <v>1162.3865034976959</v>
      </c>
      <c r="Q6" s="16">
        <f ca="1">IS!Q20</f>
        <v>1203.1949075745219</v>
      </c>
      <c r="R6" s="16">
        <f ca="1">IS!R20</f>
        <v>1242.3352687729748</v>
      </c>
      <c r="S6" s="16">
        <f ca="1">IS!S20</f>
        <v>1279.4819942323843</v>
      </c>
    </row>
    <row r="7" spans="2:19" x14ac:dyDescent="0.2">
      <c r="B7" s="17" t="s">
        <v>42</v>
      </c>
      <c r="E7" s="18">
        <f>IFERROR(IS!E21/IS!E20,"n.m.")</f>
        <v>-9.3161246006245355E-2</v>
      </c>
      <c r="F7" s="18">
        <f>IFERROR(IS!F21/IS!F20,"n.m.")</f>
        <v>0.24822131416769186</v>
      </c>
      <c r="G7" s="18">
        <f>IFERROR(IS!G21/IS!G20,"n.m.")</f>
        <v>9.5525133748425195E-2</v>
      </c>
      <c r="H7" s="18">
        <f>IFERROR(IS!H21/IS!H20,"n.m.")</f>
        <v>-4.3363284741913442E-2</v>
      </c>
      <c r="I7" s="18">
        <f>IFERROR(IS!I21/IS!I20,"n.m.")</f>
        <v>2.1126366850283684</v>
      </c>
      <c r="J7" s="18">
        <f>Inputs!J102</f>
        <v>0.23</v>
      </c>
      <c r="K7" s="18">
        <f>Inputs!K102</f>
        <v>0.22</v>
      </c>
      <c r="L7" s="18">
        <f>Inputs!L102</f>
        <v>0.22</v>
      </c>
      <c r="M7" s="18">
        <f>Inputs!M102</f>
        <v>0.22</v>
      </c>
      <c r="N7" s="18">
        <f>Inputs!N102</f>
        <v>0.22</v>
      </c>
      <c r="O7" s="18">
        <f>Inputs!O102</f>
        <v>0.22</v>
      </c>
      <c r="P7" s="18">
        <f>Inputs!P102</f>
        <v>0.22</v>
      </c>
      <c r="Q7" s="18">
        <f>Inputs!Q102</f>
        <v>0.22</v>
      </c>
      <c r="R7" s="18">
        <f>Inputs!R102</f>
        <v>0.22</v>
      </c>
      <c r="S7" s="18">
        <f>Inputs!S102</f>
        <v>0.22</v>
      </c>
    </row>
    <row r="8" spans="2:19" x14ac:dyDescent="0.2">
      <c r="B8" s="1" t="s">
        <v>413</v>
      </c>
      <c r="E8" s="41">
        <f>IS!E21</f>
        <v>-61.844999999999999</v>
      </c>
      <c r="F8" s="41">
        <f>IS!F21</f>
        <v>178.34899999999999</v>
      </c>
      <c r="G8" s="41">
        <f>IS!G21</f>
        <v>83.706000000000003</v>
      </c>
      <c r="H8" s="41">
        <f>IS!H21</f>
        <v>-39.485999999999997</v>
      </c>
      <c r="I8" s="41">
        <f>IS!I21</f>
        <v>154.17599999999999</v>
      </c>
      <c r="J8" s="41">
        <f t="shared" ref="J8:S8" ca="1" si="0">MAX(0,J6)*J7</f>
        <v>190.20809732571206</v>
      </c>
      <c r="K8" s="41">
        <f t="shared" ca="1" si="0"/>
        <v>197.38785934091689</v>
      </c>
      <c r="L8" s="41">
        <f t="shared" ca="1" si="0"/>
        <v>212.64531300641386</v>
      </c>
      <c r="M8" s="41">
        <f t="shared" ca="1" si="0"/>
        <v>226.76809779437994</v>
      </c>
      <c r="N8" s="41">
        <f t="shared" ca="1" si="0"/>
        <v>238.44950985824798</v>
      </c>
      <c r="O8" s="41">
        <f t="shared" ca="1" si="0"/>
        <v>247.08110371427981</v>
      </c>
      <c r="P8" s="41">
        <f t="shared" ca="1" si="0"/>
        <v>255.72503076949309</v>
      </c>
      <c r="Q8" s="41">
        <f t="shared" ca="1" si="0"/>
        <v>264.70287966639484</v>
      </c>
      <c r="R8" s="41">
        <f t="shared" ca="1" si="0"/>
        <v>273.31375913005445</v>
      </c>
      <c r="S8" s="41">
        <f t="shared" ca="1" si="0"/>
        <v>281.48603873112455</v>
      </c>
    </row>
    <row r="9" spans="2:19" x14ac:dyDescent="0.2">
      <c r="B9" s="17" t="s">
        <v>239</v>
      </c>
      <c r="J9" s="18">
        <f>Inputs!J103</f>
        <v>0.18</v>
      </c>
      <c r="K9" s="18">
        <f>Inputs!K103</f>
        <v>0.18</v>
      </c>
      <c r="L9" s="18">
        <f>Inputs!L103</f>
        <v>0.18</v>
      </c>
      <c r="M9" s="18">
        <f>Inputs!M103</f>
        <v>0.18</v>
      </c>
      <c r="N9" s="18">
        <f>Inputs!N103</f>
        <v>0.18</v>
      </c>
      <c r="O9" s="18">
        <f>Inputs!O103</f>
        <v>0.18</v>
      </c>
      <c r="P9" s="18">
        <f>Inputs!P103</f>
        <v>0.18</v>
      </c>
      <c r="Q9" s="18">
        <f>Inputs!Q103</f>
        <v>0.18</v>
      </c>
      <c r="R9" s="18">
        <f>Inputs!R103</f>
        <v>0.18</v>
      </c>
      <c r="S9" s="18">
        <f>Inputs!S103</f>
        <v>0.18</v>
      </c>
    </row>
    <row r="10" spans="2:19" x14ac:dyDescent="0.2">
      <c r="B10" t="s">
        <v>414</v>
      </c>
      <c r="J10" s="21">
        <f t="shared" ref="J10:S10" ca="1" si="1">MAX(0,J6)*J9</f>
        <v>148.85851095055725</v>
      </c>
      <c r="K10" s="21">
        <f t="shared" ca="1" si="1"/>
        <v>161.49915764256835</v>
      </c>
      <c r="L10" s="21">
        <f t="shared" ca="1" si="1"/>
        <v>173.9825288234295</v>
      </c>
      <c r="M10" s="21">
        <f t="shared" ca="1" si="1"/>
        <v>185.53753455903811</v>
      </c>
      <c r="N10" s="21">
        <f t="shared" ca="1" si="1"/>
        <v>195.09505352038468</v>
      </c>
      <c r="O10" s="21">
        <f t="shared" ca="1" si="1"/>
        <v>202.15726667531982</v>
      </c>
      <c r="P10" s="21">
        <f t="shared" ca="1" si="1"/>
        <v>209.22957062958525</v>
      </c>
      <c r="Q10" s="21">
        <f t="shared" ca="1" si="1"/>
        <v>216.57508336341394</v>
      </c>
      <c r="R10" s="21">
        <f t="shared" ca="1" si="1"/>
        <v>223.62034837913546</v>
      </c>
      <c r="S10" s="21">
        <f t="shared" ca="1" si="1"/>
        <v>230.30675896182916</v>
      </c>
    </row>
    <row r="11" spans="2:19" x14ac:dyDescent="0.2">
      <c r="B11" t="s">
        <v>415</v>
      </c>
      <c r="E11" s="16">
        <f>Hist!E67</f>
        <v>-241.28299999999999</v>
      </c>
      <c r="F11" s="16">
        <f>Hist!F67</f>
        <v>-4.76</v>
      </c>
      <c r="G11" s="16">
        <f>Hist!G67</f>
        <v>-410.31900000000002</v>
      </c>
      <c r="H11" s="16">
        <f>Hist!H67</f>
        <v>-254.45400000000001</v>
      </c>
      <c r="I11" s="16">
        <f>Hist!I67</f>
        <v>47.093000000000004</v>
      </c>
      <c r="J11" s="21">
        <f t="shared" ref="J11:S11" ca="1" si="2">MIN(J14,J8-J10)</f>
        <v>41.349586375154814</v>
      </c>
      <c r="K11" s="21">
        <f t="shared" ca="1" si="2"/>
        <v>35.888701698348541</v>
      </c>
      <c r="L11" s="21">
        <f t="shared" ca="1" si="2"/>
        <v>38.662784182984353</v>
      </c>
      <c r="M11" s="21">
        <f t="shared" ca="1" si="2"/>
        <v>41.230563235341833</v>
      </c>
      <c r="N11" s="21">
        <f t="shared" ca="1" si="2"/>
        <v>43.354456337863297</v>
      </c>
      <c r="O11" s="21">
        <f t="shared" ca="1" si="2"/>
        <v>44.923837038959988</v>
      </c>
      <c r="P11" s="21">
        <f t="shared" ca="1" si="2"/>
        <v>46.495460139907834</v>
      </c>
      <c r="Q11" s="21">
        <f t="shared" ca="1" si="2"/>
        <v>48.127796302980897</v>
      </c>
      <c r="R11" s="21">
        <f t="shared" ca="1" si="2"/>
        <v>49.693410750918986</v>
      </c>
      <c r="S11" s="21">
        <f t="shared" ca="1" si="2"/>
        <v>51.179279769295391</v>
      </c>
    </row>
    <row r="12" spans="2:19" x14ac:dyDescent="0.2">
      <c r="B12" s="1" t="s">
        <v>416</v>
      </c>
      <c r="E12" s="41">
        <f>Hist!E81</f>
        <v>159.68</v>
      </c>
      <c r="F12" s="41">
        <f>Hist!F81</f>
        <v>130.084</v>
      </c>
      <c r="G12" s="41">
        <f>Hist!G81</f>
        <v>176.56399999999999</v>
      </c>
      <c r="H12" s="41">
        <f>Hist!H81</f>
        <v>122.678</v>
      </c>
      <c r="I12" s="41">
        <f>Hist!I81</f>
        <v>185.066</v>
      </c>
      <c r="J12" s="41">
        <f t="shared" ref="J12:S12" ca="1" si="3">J8-J11</f>
        <v>148.85851095055725</v>
      </c>
      <c r="K12" s="41">
        <f t="shared" ca="1" si="3"/>
        <v>161.49915764256835</v>
      </c>
      <c r="L12" s="41">
        <f t="shared" ca="1" si="3"/>
        <v>173.9825288234295</v>
      </c>
      <c r="M12" s="41">
        <f t="shared" ca="1" si="3"/>
        <v>185.53753455903811</v>
      </c>
      <c r="N12" s="41">
        <f t="shared" ca="1" si="3"/>
        <v>195.09505352038468</v>
      </c>
      <c r="O12" s="41">
        <f t="shared" ca="1" si="3"/>
        <v>202.15726667531982</v>
      </c>
      <c r="P12" s="41">
        <f t="shared" ca="1" si="3"/>
        <v>209.22957062958525</v>
      </c>
      <c r="Q12" s="41">
        <f t="shared" ca="1" si="3"/>
        <v>216.57508336341394</v>
      </c>
      <c r="R12" s="41">
        <f t="shared" ca="1" si="3"/>
        <v>223.62034837913546</v>
      </c>
      <c r="S12" s="41">
        <f t="shared" ca="1" si="3"/>
        <v>230.30675896182916</v>
      </c>
    </row>
    <row r="13" spans="2:19" x14ac:dyDescent="0.2">
      <c r="B13" s="3" t="s">
        <v>417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2:19" x14ac:dyDescent="0.2">
      <c r="B14" t="s">
        <v>418</v>
      </c>
      <c r="F14" s="21">
        <f t="shared" ref="F14:S14" si="4">E15</f>
        <v>567.20100000000002</v>
      </c>
      <c r="G14" s="21">
        <f t="shared" si="4"/>
        <v>528.27800000000002</v>
      </c>
      <c r="H14" s="21">
        <f t="shared" si="4"/>
        <v>667.97199999999998</v>
      </c>
      <c r="I14" s="21">
        <f t="shared" si="4"/>
        <v>872.35</v>
      </c>
      <c r="J14" s="21">
        <f t="shared" si="4"/>
        <v>935.05399999999997</v>
      </c>
      <c r="K14" s="21">
        <f t="shared" ca="1" si="4"/>
        <v>893.70441362484519</v>
      </c>
      <c r="L14" s="21">
        <f t="shared" ca="1" si="4"/>
        <v>857.81571192649665</v>
      </c>
      <c r="M14" s="21">
        <f t="shared" ca="1" si="4"/>
        <v>819.15292774351235</v>
      </c>
      <c r="N14" s="21">
        <f t="shared" ca="1" si="4"/>
        <v>777.9223645081704</v>
      </c>
      <c r="O14" s="21">
        <f t="shared" ca="1" si="4"/>
        <v>734.56790817030719</v>
      </c>
      <c r="P14" s="21">
        <f t="shared" ca="1" si="4"/>
        <v>689.64407113134712</v>
      </c>
      <c r="Q14" s="21">
        <f t="shared" ca="1" si="4"/>
        <v>643.14861099143945</v>
      </c>
      <c r="R14" s="21">
        <f t="shared" ca="1" si="4"/>
        <v>595.02081468845836</v>
      </c>
      <c r="S14" s="21">
        <f t="shared" ca="1" si="4"/>
        <v>545.32740393753966</v>
      </c>
    </row>
    <row r="15" spans="2:19" x14ac:dyDescent="0.2">
      <c r="B15" s="1" t="s">
        <v>419</v>
      </c>
      <c r="E15" s="42">
        <f>Hist!E43</f>
        <v>567.20100000000002</v>
      </c>
      <c r="F15" s="42">
        <f>Hist!F43</f>
        <v>528.27800000000002</v>
      </c>
      <c r="G15" s="42">
        <f>Hist!G43</f>
        <v>667.97199999999998</v>
      </c>
      <c r="H15" s="42">
        <f>Hist!H43</f>
        <v>872.35</v>
      </c>
      <c r="I15" s="42">
        <f>Hist!I43</f>
        <v>935.05399999999997</v>
      </c>
      <c r="J15" s="42">
        <f t="shared" ref="J15:S15" ca="1" si="5">J14-J11</f>
        <v>893.70441362484519</v>
      </c>
      <c r="K15" s="42">
        <f t="shared" ca="1" si="5"/>
        <v>857.81571192649665</v>
      </c>
      <c r="L15" s="42">
        <f t="shared" ca="1" si="5"/>
        <v>819.15292774351224</v>
      </c>
      <c r="M15" s="42">
        <f t="shared" ca="1" si="5"/>
        <v>777.92236450817052</v>
      </c>
      <c r="N15" s="42">
        <f t="shared" ca="1" si="5"/>
        <v>734.56790817030708</v>
      </c>
      <c r="O15" s="42">
        <f t="shared" ca="1" si="5"/>
        <v>689.64407113134723</v>
      </c>
      <c r="P15" s="42">
        <f t="shared" ca="1" si="5"/>
        <v>643.14861099143923</v>
      </c>
      <c r="Q15" s="42">
        <f t="shared" ca="1" si="5"/>
        <v>595.02081468845859</v>
      </c>
      <c r="R15" s="42">
        <f t="shared" ca="1" si="5"/>
        <v>545.32740393753943</v>
      </c>
      <c r="S15" s="42">
        <f t="shared" ca="1" si="5"/>
        <v>494.14812416824429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S58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420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17" t="s">
        <v>421</v>
      </c>
      <c r="J6" s="18">
        <f>Inputs!J104</f>
        <v>3.7499999999999999E-2</v>
      </c>
      <c r="K6" s="18">
        <f>Inputs!K104</f>
        <v>3.5000000000000003E-2</v>
      </c>
      <c r="L6" s="18">
        <f>Inputs!L104</f>
        <v>3.2500000000000001E-2</v>
      </c>
      <c r="M6" s="18">
        <f>Inputs!M104</f>
        <v>3.2500000000000001E-2</v>
      </c>
      <c r="N6" s="18">
        <f>Inputs!N104</f>
        <v>3.2500000000000001E-2</v>
      </c>
      <c r="O6" s="18">
        <f>Inputs!O104</f>
        <v>3.2500000000000001E-2</v>
      </c>
      <c r="P6" s="18">
        <f>Inputs!P104</f>
        <v>3.2500000000000001E-2</v>
      </c>
      <c r="Q6" s="18">
        <f>Inputs!Q104</f>
        <v>3.2500000000000001E-2</v>
      </c>
      <c r="R6" s="18">
        <f>Inputs!R104</f>
        <v>3.2500000000000001E-2</v>
      </c>
      <c r="S6" s="18">
        <f>Inputs!S104</f>
        <v>3.2500000000000001E-2</v>
      </c>
    </row>
    <row r="7" spans="2:19" x14ac:dyDescent="0.2">
      <c r="B7" s="3" t="s">
        <v>422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</row>
    <row r="8" spans="2:19" x14ac:dyDescent="0.2">
      <c r="B8" t="s">
        <v>376</v>
      </c>
      <c r="J8" s="16">
        <f>BS!I7</f>
        <v>130.35400000000001</v>
      </c>
      <c r="K8" s="16">
        <f ca="1">BS!J7</f>
        <v>149.99999999999952</v>
      </c>
      <c r="L8" s="16">
        <f ca="1">BS!K7</f>
        <v>150.00000000000088</v>
      </c>
      <c r="M8" s="16">
        <f ca="1">BS!L7</f>
        <v>149.99999999999815</v>
      </c>
      <c r="N8" s="16">
        <f ca="1">BS!M7</f>
        <v>218.8121073757878</v>
      </c>
      <c r="O8" s="16">
        <f ca="1">BS!N7</f>
        <v>149.99999999999997</v>
      </c>
      <c r="P8" s="16">
        <f ca="1">BS!O7</f>
        <v>149.99999999999997</v>
      </c>
      <c r="Q8" s="16">
        <f ca="1">BS!P7</f>
        <v>150.00000000000009</v>
      </c>
      <c r="R8" s="16">
        <f ca="1">BS!Q7</f>
        <v>150.00000000000009</v>
      </c>
      <c r="S8" s="16">
        <f ca="1">BS!R7</f>
        <v>150.00000000002237</v>
      </c>
    </row>
    <row r="9" spans="2:19" x14ac:dyDescent="0.2">
      <c r="B9" t="s">
        <v>423</v>
      </c>
      <c r="J9" s="21">
        <f ca="1">CF!J20+CF!J25</f>
        <v>727.63605718266695</v>
      </c>
      <c r="K9" s="21">
        <f ca="1">CF!K20+CF!K25</f>
        <v>789.21823459351367</v>
      </c>
      <c r="L9" s="21">
        <f ca="1">CF!L20+CF!L25</f>
        <v>844.47355009809758</v>
      </c>
      <c r="M9" s="21">
        <f ca="1">CF!M20+CF!M25</f>
        <v>890.96269500466212</v>
      </c>
      <c r="N9" s="21">
        <f ca="1">CF!N20+CF!N25</f>
        <v>930.02964315729503</v>
      </c>
      <c r="O9" s="21">
        <f ca="1">CF!O20+CF!O25</f>
        <v>963.49396926766622</v>
      </c>
      <c r="P9" s="21">
        <f ca="1">CF!P20+CF!P25</f>
        <v>997.29811539864556</v>
      </c>
      <c r="Q9" s="21">
        <f ca="1">CF!Q20+CF!Q25</f>
        <v>1032.429639136089</v>
      </c>
      <c r="R9" s="21">
        <f ca="1">CF!R20+CF!R25</f>
        <v>1066.2638269346398</v>
      </c>
      <c r="S9" s="21">
        <f ca="1">CF!S20+CF!S25</f>
        <v>1098.5199772715382</v>
      </c>
    </row>
    <row r="10" spans="2:19" x14ac:dyDescent="0.2">
      <c r="B10" t="s">
        <v>424</v>
      </c>
      <c r="J10" s="16">
        <f ca="1">Equity!J10</f>
        <v>582.1088457461334</v>
      </c>
      <c r="K10" s="16">
        <f ca="1">Equity!K10</f>
        <v>631.37458767481098</v>
      </c>
      <c r="L10" s="16">
        <f ca="1">Equity!L10</f>
        <v>675.57884007847815</v>
      </c>
      <c r="M10" s="16">
        <f ca="1">Equity!M10</f>
        <v>712.77015600372954</v>
      </c>
      <c r="N10" s="16">
        <f ca="1">Equity!N10</f>
        <v>998.84175053308286</v>
      </c>
      <c r="O10" s="16">
        <f ca="1">Equity!O10</f>
        <v>963.49396926766622</v>
      </c>
      <c r="P10" s="16">
        <f ca="1">Equity!P10</f>
        <v>997.29811539864545</v>
      </c>
      <c r="Q10" s="16">
        <f ca="1">Equity!Q10</f>
        <v>1032.429639136089</v>
      </c>
      <c r="R10" s="16">
        <f ca="1">Equity!R10</f>
        <v>1066.2638269346389</v>
      </c>
      <c r="S10" s="16">
        <f ca="1">Equity!S10</f>
        <v>1098.5199772682929</v>
      </c>
    </row>
    <row r="11" spans="2:19" x14ac:dyDescent="0.2">
      <c r="B11" t="s">
        <v>425</v>
      </c>
      <c r="J11" s="21">
        <f t="shared" ref="J11:S11" si="0">J25+J32+J37-J42</f>
        <v>0</v>
      </c>
      <c r="K11" s="21">
        <f t="shared" si="0"/>
        <v>0</v>
      </c>
      <c r="L11" s="21">
        <f t="shared" si="0"/>
        <v>0</v>
      </c>
      <c r="M11" s="21">
        <f t="shared" ca="1" si="0"/>
        <v>109.38043162514293</v>
      </c>
      <c r="N11" s="21">
        <f t="shared" si="0"/>
        <v>0</v>
      </c>
      <c r="O11" s="21">
        <f t="shared" si="0"/>
        <v>0</v>
      </c>
      <c r="P11" s="21">
        <f t="shared" si="0"/>
        <v>0</v>
      </c>
      <c r="Q11" s="21">
        <f t="shared" si="0"/>
        <v>0</v>
      </c>
      <c r="R11" s="21">
        <f t="shared" si="0"/>
        <v>0</v>
      </c>
      <c r="S11" s="21">
        <f t="shared" si="0"/>
        <v>0</v>
      </c>
    </row>
    <row r="12" spans="2:19" x14ac:dyDescent="0.2">
      <c r="B12" t="s">
        <v>426</v>
      </c>
      <c r="J12" s="21">
        <f t="shared" ref="J12:S12" si="1">MinCash</f>
        <v>150</v>
      </c>
      <c r="K12" s="21">
        <f t="shared" si="1"/>
        <v>150</v>
      </c>
      <c r="L12" s="21">
        <f t="shared" si="1"/>
        <v>150</v>
      </c>
      <c r="M12" s="21">
        <f t="shared" si="1"/>
        <v>150</v>
      </c>
      <c r="N12" s="21">
        <f t="shared" si="1"/>
        <v>150</v>
      </c>
      <c r="O12" s="21">
        <f t="shared" si="1"/>
        <v>150</v>
      </c>
      <c r="P12" s="21">
        <f t="shared" si="1"/>
        <v>150</v>
      </c>
      <c r="Q12" s="21">
        <f t="shared" si="1"/>
        <v>150</v>
      </c>
      <c r="R12" s="21">
        <f t="shared" si="1"/>
        <v>150</v>
      </c>
      <c r="S12" s="21">
        <f t="shared" si="1"/>
        <v>150</v>
      </c>
    </row>
    <row r="13" spans="2:19" x14ac:dyDescent="0.2">
      <c r="B13" s="1" t="s">
        <v>427</v>
      </c>
      <c r="J13" s="42">
        <f t="shared" ref="J13:S13" ca="1" si="2">J8+J9-J10-J11-J12</f>
        <v>125.88121143653359</v>
      </c>
      <c r="K13" s="42">
        <f t="shared" ca="1" si="2"/>
        <v>157.84364691870223</v>
      </c>
      <c r="L13" s="42">
        <f t="shared" ca="1" si="2"/>
        <v>168.89471001962033</v>
      </c>
      <c r="M13" s="42">
        <f t="shared" ca="1" si="2"/>
        <v>68.812107375787718</v>
      </c>
      <c r="N13" s="42">
        <f t="shared" ca="1" si="2"/>
        <v>0</v>
      </c>
      <c r="O13" s="42">
        <f t="shared" ca="1" si="2"/>
        <v>0</v>
      </c>
      <c r="P13" s="42">
        <f t="shared" ca="1" si="2"/>
        <v>0</v>
      </c>
      <c r="Q13" s="42">
        <f t="shared" ca="1" si="2"/>
        <v>0</v>
      </c>
      <c r="R13" s="42">
        <f t="shared" ca="1" si="2"/>
        <v>9.0949470177292824E-13</v>
      </c>
      <c r="S13" s="42">
        <f t="shared" ca="1" si="2"/>
        <v>3.2675870897946879E-9</v>
      </c>
    </row>
    <row r="14" spans="2:19" x14ac:dyDescent="0.2">
      <c r="B14" t="s">
        <v>428</v>
      </c>
      <c r="J14" s="21">
        <f t="shared" ref="J14:S14" ca="1" si="3">MAX(0,J13-J16)</f>
        <v>63.88121143653359</v>
      </c>
      <c r="K14" s="21">
        <f t="shared" ca="1" si="3"/>
        <v>157.84364691870223</v>
      </c>
      <c r="L14" s="21">
        <f t="shared" ca="1" si="3"/>
        <v>168.89471001962033</v>
      </c>
      <c r="M14" s="21">
        <f t="shared" ca="1" si="3"/>
        <v>68.812107375787718</v>
      </c>
      <c r="N14" s="21">
        <f t="shared" ca="1" si="3"/>
        <v>0</v>
      </c>
      <c r="O14" s="21">
        <f t="shared" ca="1" si="3"/>
        <v>0</v>
      </c>
      <c r="P14" s="21">
        <f t="shared" ca="1" si="3"/>
        <v>0</v>
      </c>
      <c r="Q14" s="21">
        <f t="shared" ca="1" si="3"/>
        <v>0</v>
      </c>
      <c r="R14" s="21">
        <f t="shared" ca="1" si="3"/>
        <v>9.0949470177292824E-13</v>
      </c>
      <c r="S14" s="21">
        <f t="shared" ca="1" si="3"/>
        <v>3.1179752113530412E-9</v>
      </c>
    </row>
    <row r="15" spans="2:19" x14ac:dyDescent="0.2">
      <c r="B15" s="3" t="s">
        <v>429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</row>
    <row r="16" spans="2:19" x14ac:dyDescent="0.2">
      <c r="B16" t="s">
        <v>430</v>
      </c>
      <c r="J16" s="21">
        <f t="shared" ref="J16:S16" si="4">I18</f>
        <v>62</v>
      </c>
      <c r="K16" s="21">
        <f t="shared" ca="1" si="4"/>
        <v>0</v>
      </c>
      <c r="L16" s="21">
        <f t="shared" ca="1" si="4"/>
        <v>0</v>
      </c>
      <c r="M16" s="21">
        <f t="shared" ca="1" si="4"/>
        <v>0</v>
      </c>
      <c r="N16" s="21">
        <f t="shared" ca="1" si="4"/>
        <v>0</v>
      </c>
      <c r="O16" s="21">
        <f t="shared" ca="1" si="4"/>
        <v>0</v>
      </c>
      <c r="P16" s="21">
        <f t="shared" ca="1" si="4"/>
        <v>0</v>
      </c>
      <c r="Q16" s="21">
        <f t="shared" ca="1" si="4"/>
        <v>0</v>
      </c>
      <c r="R16" s="21">
        <f t="shared" ca="1" si="4"/>
        <v>0</v>
      </c>
      <c r="S16" s="21">
        <f t="shared" ca="1" si="4"/>
        <v>0</v>
      </c>
    </row>
    <row r="17" spans="2:19" x14ac:dyDescent="0.2">
      <c r="B17" t="s">
        <v>431</v>
      </c>
      <c r="J17" s="21">
        <f t="shared" ref="J17:S17" ca="1" si="5">J18-J16</f>
        <v>-62</v>
      </c>
      <c r="K17" s="21">
        <f t="shared" ca="1" si="5"/>
        <v>0</v>
      </c>
      <c r="L17" s="21">
        <f t="shared" ca="1" si="5"/>
        <v>0</v>
      </c>
      <c r="M17" s="21">
        <f t="shared" ca="1" si="5"/>
        <v>0</v>
      </c>
      <c r="N17" s="21">
        <f t="shared" ca="1" si="5"/>
        <v>0</v>
      </c>
      <c r="O17" s="21">
        <f t="shared" ca="1" si="5"/>
        <v>0</v>
      </c>
      <c r="P17" s="21">
        <f t="shared" ca="1" si="5"/>
        <v>0</v>
      </c>
      <c r="Q17" s="21">
        <f t="shared" ca="1" si="5"/>
        <v>0</v>
      </c>
      <c r="R17" s="21">
        <f t="shared" ca="1" si="5"/>
        <v>0</v>
      </c>
      <c r="S17" s="21">
        <f t="shared" ca="1" si="5"/>
        <v>0</v>
      </c>
    </row>
    <row r="18" spans="2:19" x14ac:dyDescent="0.2">
      <c r="B18" s="1" t="s">
        <v>432</v>
      </c>
      <c r="H18" s="41">
        <f>Hist!H108</f>
        <v>190</v>
      </c>
      <c r="I18" s="41">
        <f>Hist!I108</f>
        <v>62</v>
      </c>
      <c r="J18" s="41">
        <f t="shared" ref="J18:S18" ca="1" si="6">MIN(RevolverCap,MAX(0,J16-J13))</f>
        <v>0</v>
      </c>
      <c r="K18" s="41">
        <f t="shared" ca="1" si="6"/>
        <v>0</v>
      </c>
      <c r="L18" s="41">
        <f t="shared" ca="1" si="6"/>
        <v>0</v>
      </c>
      <c r="M18" s="41">
        <f t="shared" ca="1" si="6"/>
        <v>0</v>
      </c>
      <c r="N18" s="41">
        <f t="shared" ca="1" si="6"/>
        <v>0</v>
      </c>
      <c r="O18" s="41">
        <f t="shared" ca="1" si="6"/>
        <v>0</v>
      </c>
      <c r="P18" s="41">
        <f t="shared" ca="1" si="6"/>
        <v>0</v>
      </c>
      <c r="Q18" s="41">
        <f t="shared" ca="1" si="6"/>
        <v>0</v>
      </c>
      <c r="R18" s="41">
        <f t="shared" ca="1" si="6"/>
        <v>0</v>
      </c>
      <c r="S18" s="41">
        <f t="shared" ca="1" si="6"/>
        <v>0</v>
      </c>
    </row>
    <row r="19" spans="2:19" x14ac:dyDescent="0.2">
      <c r="B19" s="17" t="s">
        <v>433</v>
      </c>
      <c r="J19" s="18">
        <f t="shared" ref="J19:S19" si="7">J6+RevolverSpread</f>
        <v>5.2499999999999998E-2</v>
      </c>
      <c r="K19" s="18">
        <f t="shared" si="7"/>
        <v>0.05</v>
      </c>
      <c r="L19" s="18">
        <f t="shared" si="7"/>
        <v>4.7500000000000001E-2</v>
      </c>
      <c r="M19" s="18">
        <f t="shared" si="7"/>
        <v>4.7500000000000001E-2</v>
      </c>
      <c r="N19" s="18">
        <f t="shared" si="7"/>
        <v>4.7500000000000001E-2</v>
      </c>
      <c r="O19" s="18">
        <f t="shared" si="7"/>
        <v>4.7500000000000001E-2</v>
      </c>
      <c r="P19" s="18">
        <f t="shared" si="7"/>
        <v>4.7500000000000001E-2</v>
      </c>
      <c r="Q19" s="18">
        <f t="shared" si="7"/>
        <v>4.7500000000000001E-2</v>
      </c>
      <c r="R19" s="18">
        <f t="shared" si="7"/>
        <v>4.7500000000000001E-2</v>
      </c>
      <c r="S19" s="18">
        <f t="shared" si="7"/>
        <v>4.7500000000000001E-2</v>
      </c>
    </row>
    <row r="20" spans="2:19" x14ac:dyDescent="0.2">
      <c r="B20" t="s">
        <v>434</v>
      </c>
      <c r="J20" s="21">
        <f t="shared" ref="J20:S20" ca="1" si="8">J19*IF(CircSwitch=1,AVERAGE(J16,J18),J16)</f>
        <v>1.6274999999999999</v>
      </c>
      <c r="K20" s="21">
        <f t="shared" ca="1" si="8"/>
        <v>0</v>
      </c>
      <c r="L20" s="21">
        <f t="shared" ca="1" si="8"/>
        <v>0</v>
      </c>
      <c r="M20" s="21">
        <f t="shared" ca="1" si="8"/>
        <v>0</v>
      </c>
      <c r="N20" s="21">
        <f t="shared" ca="1" si="8"/>
        <v>0</v>
      </c>
      <c r="O20" s="21">
        <f t="shared" ca="1" si="8"/>
        <v>0</v>
      </c>
      <c r="P20" s="21">
        <f t="shared" ca="1" si="8"/>
        <v>0</v>
      </c>
      <c r="Q20" s="21">
        <f t="shared" ca="1" si="8"/>
        <v>0</v>
      </c>
      <c r="R20" s="21">
        <f t="shared" ca="1" si="8"/>
        <v>0</v>
      </c>
      <c r="S20" s="21">
        <f t="shared" ca="1" si="8"/>
        <v>0</v>
      </c>
    </row>
    <row r="21" spans="2:19" x14ac:dyDescent="0.2">
      <c r="B21" t="s">
        <v>435</v>
      </c>
      <c r="J21" s="21">
        <f t="shared" ref="J21:S21" ca="1" si="9">CommitFee*(RevolverCap-IF(CircSwitch=1,AVERAGE(J16,J18),J16))</f>
        <v>1.9379999999999999</v>
      </c>
      <c r="K21" s="21">
        <f t="shared" ca="1" si="9"/>
        <v>2</v>
      </c>
      <c r="L21" s="21">
        <f t="shared" ca="1" si="9"/>
        <v>2</v>
      </c>
      <c r="M21" s="21">
        <f t="shared" ca="1" si="9"/>
        <v>2</v>
      </c>
      <c r="N21" s="21">
        <f t="shared" ca="1" si="9"/>
        <v>2</v>
      </c>
      <c r="O21" s="21">
        <f t="shared" ca="1" si="9"/>
        <v>2</v>
      </c>
      <c r="P21" s="21">
        <f t="shared" ca="1" si="9"/>
        <v>2</v>
      </c>
      <c r="Q21" s="21">
        <f t="shared" ca="1" si="9"/>
        <v>2</v>
      </c>
      <c r="R21" s="21">
        <f t="shared" ca="1" si="9"/>
        <v>2</v>
      </c>
      <c r="S21" s="21">
        <f t="shared" ca="1" si="9"/>
        <v>2</v>
      </c>
    </row>
    <row r="22" spans="2:19" x14ac:dyDescent="0.2">
      <c r="B22" s="17" t="s">
        <v>436</v>
      </c>
      <c r="J22" s="44">
        <f t="shared" ref="J22:S22" ca="1" si="10">RevolverCap-J18</f>
        <v>1000</v>
      </c>
      <c r="K22" s="44">
        <f t="shared" ca="1" si="10"/>
        <v>1000</v>
      </c>
      <c r="L22" s="44">
        <f t="shared" ca="1" si="10"/>
        <v>1000</v>
      </c>
      <c r="M22" s="44">
        <f t="shared" ca="1" si="10"/>
        <v>1000</v>
      </c>
      <c r="N22" s="44">
        <f t="shared" ca="1" si="10"/>
        <v>1000</v>
      </c>
      <c r="O22" s="44">
        <f t="shared" ca="1" si="10"/>
        <v>1000</v>
      </c>
      <c r="P22" s="44">
        <f t="shared" ca="1" si="10"/>
        <v>1000</v>
      </c>
      <c r="Q22" s="44">
        <f t="shared" ca="1" si="10"/>
        <v>1000</v>
      </c>
      <c r="R22" s="44">
        <f t="shared" ca="1" si="10"/>
        <v>1000</v>
      </c>
      <c r="S22" s="44">
        <f t="shared" ca="1" si="10"/>
        <v>1000</v>
      </c>
    </row>
    <row r="23" spans="2:19" x14ac:dyDescent="0.2">
      <c r="B23" s="3" t="s">
        <v>437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</row>
    <row r="24" spans="2:19" x14ac:dyDescent="0.2">
      <c r="B24" t="s">
        <v>430</v>
      </c>
      <c r="J24" s="21">
        <f t="shared" ref="J24:S24" si="11">I27</f>
        <v>500</v>
      </c>
      <c r="K24" s="21">
        <f t="shared" ca="1" si="11"/>
        <v>436.11878856346686</v>
      </c>
      <c r="L24" s="21">
        <f t="shared" ca="1" si="11"/>
        <v>278.27514164476327</v>
      </c>
      <c r="M24" s="21">
        <f t="shared" ca="1" si="11"/>
        <v>109.38043162514612</v>
      </c>
      <c r="N24" s="21">
        <f t="shared" ca="1" si="11"/>
        <v>0</v>
      </c>
      <c r="O24" s="21">
        <f t="shared" ca="1" si="11"/>
        <v>0</v>
      </c>
      <c r="P24" s="21">
        <f t="shared" ca="1" si="11"/>
        <v>0</v>
      </c>
      <c r="Q24" s="21">
        <f t="shared" ca="1" si="11"/>
        <v>0</v>
      </c>
      <c r="R24" s="21">
        <f t="shared" ca="1" si="11"/>
        <v>0</v>
      </c>
      <c r="S24" s="21">
        <f t="shared" ca="1" si="11"/>
        <v>0</v>
      </c>
    </row>
    <row r="25" spans="2:19" x14ac:dyDescent="0.2">
      <c r="B25" t="s">
        <v>438</v>
      </c>
      <c r="J25" s="21">
        <f>IF(2026=2029,J24,0)</f>
        <v>0</v>
      </c>
      <c r="K25" s="21">
        <f>IF(2027=2029,K24,0)</f>
        <v>0</v>
      </c>
      <c r="L25" s="21">
        <f>IF(2028=2029,L24,0)</f>
        <v>0</v>
      </c>
      <c r="M25" s="21">
        <f ca="1">IF(2029=2029,M24,0)</f>
        <v>109.38043162514612</v>
      </c>
      <c r="N25" s="21">
        <f>IF(2030=2029,N24,0)</f>
        <v>0</v>
      </c>
      <c r="O25" s="21">
        <f>IF(2031=2029,O24,0)</f>
        <v>0</v>
      </c>
      <c r="P25" s="21">
        <f>IF(2032=2029,P24,0)</f>
        <v>0</v>
      </c>
      <c r="Q25" s="21">
        <f>IF(2033=2029,Q24,0)</f>
        <v>0</v>
      </c>
      <c r="R25" s="21">
        <f>IF(2034=2029,R24,0)</f>
        <v>0</v>
      </c>
      <c r="S25" s="21">
        <f>IF(2035=2029,S24,0)</f>
        <v>0</v>
      </c>
    </row>
    <row r="26" spans="2:19" x14ac:dyDescent="0.2">
      <c r="B26" t="s">
        <v>439</v>
      </c>
      <c r="J26" s="21">
        <f t="shared" ref="J26:S26" ca="1" si="12">MIN(J24-J25,J14*TLBSweep)</f>
        <v>63.88121143653359</v>
      </c>
      <c r="K26" s="21">
        <f t="shared" ca="1" si="12"/>
        <v>157.84364691870223</v>
      </c>
      <c r="L26" s="21">
        <f t="shared" ca="1" si="12"/>
        <v>168.89471001962033</v>
      </c>
      <c r="M26" s="21">
        <f t="shared" ca="1" si="12"/>
        <v>0</v>
      </c>
      <c r="N26" s="21">
        <f t="shared" ca="1" si="12"/>
        <v>0</v>
      </c>
      <c r="O26" s="21">
        <f t="shared" ca="1" si="12"/>
        <v>0</v>
      </c>
      <c r="P26" s="21">
        <f t="shared" ca="1" si="12"/>
        <v>0</v>
      </c>
      <c r="Q26" s="21">
        <f t="shared" ca="1" si="12"/>
        <v>0</v>
      </c>
      <c r="R26" s="21">
        <f t="shared" ca="1" si="12"/>
        <v>0</v>
      </c>
      <c r="S26" s="21">
        <f t="shared" ca="1" si="12"/>
        <v>0</v>
      </c>
    </row>
    <row r="27" spans="2:19" x14ac:dyDescent="0.2">
      <c r="B27" s="1" t="s">
        <v>432</v>
      </c>
      <c r="H27" s="41">
        <f>Hist!H107</f>
        <v>500</v>
      </c>
      <c r="I27" s="41">
        <f>Hist!I107</f>
        <v>500</v>
      </c>
      <c r="J27" s="41">
        <f t="shared" ref="J27:S27" ca="1" si="13">J24-J25-J26</f>
        <v>436.11878856346641</v>
      </c>
      <c r="K27" s="41">
        <f t="shared" ca="1" si="13"/>
        <v>278.27514164476463</v>
      </c>
      <c r="L27" s="41">
        <f t="shared" ca="1" si="13"/>
        <v>109.38043162514293</v>
      </c>
      <c r="M27" s="41">
        <f t="shared" ca="1" si="13"/>
        <v>0</v>
      </c>
      <c r="N27" s="41">
        <f t="shared" ca="1" si="13"/>
        <v>0</v>
      </c>
      <c r="O27" s="41">
        <f t="shared" ca="1" si="13"/>
        <v>0</v>
      </c>
      <c r="P27" s="41">
        <f t="shared" ca="1" si="13"/>
        <v>0</v>
      </c>
      <c r="Q27" s="41">
        <f t="shared" ca="1" si="13"/>
        <v>0</v>
      </c>
      <c r="R27" s="41">
        <f t="shared" ca="1" si="13"/>
        <v>0</v>
      </c>
      <c r="S27" s="41">
        <f t="shared" ca="1" si="13"/>
        <v>0</v>
      </c>
    </row>
    <row r="28" spans="2:19" x14ac:dyDescent="0.2">
      <c r="B28" s="17" t="s">
        <v>440</v>
      </c>
      <c r="J28" s="18">
        <f t="shared" ref="J28:S28" si="14">J6+TLBSpread</f>
        <v>0.06</v>
      </c>
      <c r="K28" s="18">
        <f t="shared" si="14"/>
        <v>5.7500000000000002E-2</v>
      </c>
      <c r="L28" s="18">
        <f t="shared" si="14"/>
        <v>5.5E-2</v>
      </c>
      <c r="M28" s="18">
        <f t="shared" si="14"/>
        <v>5.5E-2</v>
      </c>
      <c r="N28" s="18">
        <f t="shared" si="14"/>
        <v>5.5E-2</v>
      </c>
      <c r="O28" s="18">
        <f t="shared" si="14"/>
        <v>5.5E-2</v>
      </c>
      <c r="P28" s="18">
        <f t="shared" si="14"/>
        <v>5.5E-2</v>
      </c>
      <c r="Q28" s="18">
        <f t="shared" si="14"/>
        <v>5.5E-2</v>
      </c>
      <c r="R28" s="18">
        <f t="shared" si="14"/>
        <v>5.5E-2</v>
      </c>
      <c r="S28" s="18">
        <f t="shared" si="14"/>
        <v>5.5E-2</v>
      </c>
    </row>
    <row r="29" spans="2:19" x14ac:dyDescent="0.2">
      <c r="B29" t="s">
        <v>434</v>
      </c>
      <c r="J29" s="21">
        <f t="shared" ref="J29:S29" ca="1" si="15">J28*IF(CircSwitch=1,AVERAGE(J24,J27),J24)</f>
        <v>28.083563656903991</v>
      </c>
      <c r="K29" s="21">
        <f t="shared" ca="1" si="15"/>
        <v>20.538825493486655</v>
      </c>
      <c r="L29" s="21">
        <f t="shared" ca="1" si="15"/>
        <v>10.660528264922421</v>
      </c>
      <c r="M29" s="21">
        <f t="shared" ca="1" si="15"/>
        <v>3.0079618696915182</v>
      </c>
      <c r="N29" s="21">
        <f t="shared" ca="1" si="15"/>
        <v>0</v>
      </c>
      <c r="O29" s="21">
        <f t="shared" ca="1" si="15"/>
        <v>0</v>
      </c>
      <c r="P29" s="21">
        <f t="shared" ca="1" si="15"/>
        <v>0</v>
      </c>
      <c r="Q29" s="21">
        <f t="shared" ca="1" si="15"/>
        <v>0</v>
      </c>
      <c r="R29" s="21">
        <f t="shared" ca="1" si="15"/>
        <v>0</v>
      </c>
      <c r="S29" s="21">
        <f t="shared" ca="1" si="15"/>
        <v>0</v>
      </c>
    </row>
    <row r="30" spans="2:19" x14ac:dyDescent="0.2">
      <c r="B30" s="3" t="s">
        <v>441</v>
      </c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spans="2:19" x14ac:dyDescent="0.2">
      <c r="B31" t="s">
        <v>430</v>
      </c>
      <c r="J31" s="21">
        <f t="shared" ref="J31:S31" si="16">I33</f>
        <v>350</v>
      </c>
      <c r="K31" s="21">
        <f t="shared" si="16"/>
        <v>350</v>
      </c>
      <c r="L31" s="21">
        <f t="shared" si="16"/>
        <v>350</v>
      </c>
      <c r="M31" s="21">
        <f t="shared" si="16"/>
        <v>350</v>
      </c>
      <c r="N31" s="21">
        <f t="shared" si="16"/>
        <v>0</v>
      </c>
      <c r="O31" s="21">
        <f t="shared" si="16"/>
        <v>0</v>
      </c>
      <c r="P31" s="21">
        <f t="shared" si="16"/>
        <v>0</v>
      </c>
      <c r="Q31" s="21">
        <f t="shared" si="16"/>
        <v>0</v>
      </c>
      <c r="R31" s="21">
        <f t="shared" si="16"/>
        <v>0</v>
      </c>
      <c r="S31" s="21">
        <f t="shared" si="16"/>
        <v>0</v>
      </c>
    </row>
    <row r="32" spans="2:19" x14ac:dyDescent="0.2">
      <c r="B32" t="s">
        <v>442</v>
      </c>
      <c r="J32" s="21">
        <f>IF(2026=2029,J31,0)</f>
        <v>0</v>
      </c>
      <c r="K32" s="21">
        <f>IF(2027=2029,K31,0)</f>
        <v>0</v>
      </c>
      <c r="L32" s="21">
        <f>IF(2028=2029,L31,0)</f>
        <v>0</v>
      </c>
      <c r="M32" s="21">
        <f>IF(2029=2029,M31,0)</f>
        <v>350</v>
      </c>
      <c r="N32" s="21">
        <f>IF(2030=2029,N31,0)</f>
        <v>0</v>
      </c>
      <c r="O32" s="21">
        <f>IF(2031=2029,O31,0)</f>
        <v>0</v>
      </c>
      <c r="P32" s="21">
        <f>IF(2032=2029,P31,0)</f>
        <v>0</v>
      </c>
      <c r="Q32" s="21">
        <f>IF(2033=2029,Q31,0)</f>
        <v>0</v>
      </c>
      <c r="R32" s="21">
        <f>IF(2034=2029,R31,0)</f>
        <v>0</v>
      </c>
      <c r="S32" s="21">
        <f>IF(2035=2029,S31,0)</f>
        <v>0</v>
      </c>
    </row>
    <row r="33" spans="2:19" x14ac:dyDescent="0.2">
      <c r="B33" s="1" t="s">
        <v>432</v>
      </c>
      <c r="H33" s="41">
        <f>Hist!H105</f>
        <v>350</v>
      </c>
      <c r="I33" s="41">
        <f>Hist!I105</f>
        <v>350</v>
      </c>
      <c r="J33" s="41">
        <f t="shared" ref="J33:S33" si="17">J31-J32</f>
        <v>350</v>
      </c>
      <c r="K33" s="41">
        <f t="shared" si="17"/>
        <v>350</v>
      </c>
      <c r="L33" s="41">
        <f t="shared" si="17"/>
        <v>350</v>
      </c>
      <c r="M33" s="41">
        <f t="shared" si="17"/>
        <v>0</v>
      </c>
      <c r="N33" s="41">
        <f t="shared" si="17"/>
        <v>0</v>
      </c>
      <c r="O33" s="41">
        <f t="shared" si="17"/>
        <v>0</v>
      </c>
      <c r="P33" s="41">
        <f t="shared" si="17"/>
        <v>0</v>
      </c>
      <c r="Q33" s="41">
        <f t="shared" si="17"/>
        <v>0</v>
      </c>
      <c r="R33" s="41">
        <f t="shared" si="17"/>
        <v>0</v>
      </c>
      <c r="S33" s="41">
        <f t="shared" si="17"/>
        <v>0</v>
      </c>
    </row>
    <row r="34" spans="2:19" x14ac:dyDescent="0.2">
      <c r="B34" t="s">
        <v>434</v>
      </c>
      <c r="J34" s="21">
        <f t="shared" ref="J34:S34" si="18">Coupon_Notes29*IF(CircSwitch=1,AVERAGE(J31,J33),J31)</f>
        <v>14.875000000000002</v>
      </c>
      <c r="K34" s="21">
        <f t="shared" si="18"/>
        <v>14.875000000000002</v>
      </c>
      <c r="L34" s="21">
        <f t="shared" si="18"/>
        <v>14.875000000000002</v>
      </c>
      <c r="M34" s="21">
        <f t="shared" si="18"/>
        <v>7.4375000000000009</v>
      </c>
      <c r="N34" s="21">
        <f t="shared" si="18"/>
        <v>0</v>
      </c>
      <c r="O34" s="21">
        <f t="shared" si="18"/>
        <v>0</v>
      </c>
      <c r="P34" s="21">
        <f t="shared" si="18"/>
        <v>0</v>
      </c>
      <c r="Q34" s="21">
        <f t="shared" si="18"/>
        <v>0</v>
      </c>
      <c r="R34" s="21">
        <f t="shared" si="18"/>
        <v>0</v>
      </c>
      <c r="S34" s="21">
        <f t="shared" si="18"/>
        <v>0</v>
      </c>
    </row>
    <row r="35" spans="2:19" x14ac:dyDescent="0.2">
      <c r="B35" s="3" t="s">
        <v>443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</row>
    <row r="36" spans="2:19" x14ac:dyDescent="0.2">
      <c r="B36" t="s">
        <v>430</v>
      </c>
      <c r="J36" s="21">
        <f t="shared" ref="J36:S36" si="19">I38</f>
        <v>350</v>
      </c>
      <c r="K36" s="21">
        <f t="shared" si="19"/>
        <v>350</v>
      </c>
      <c r="L36" s="21">
        <f t="shared" si="19"/>
        <v>350</v>
      </c>
      <c r="M36" s="21">
        <f t="shared" si="19"/>
        <v>350</v>
      </c>
      <c r="N36" s="21">
        <f t="shared" si="19"/>
        <v>350</v>
      </c>
      <c r="O36" s="21">
        <f t="shared" si="19"/>
        <v>350</v>
      </c>
      <c r="P36" s="21">
        <f t="shared" si="19"/>
        <v>0</v>
      </c>
      <c r="Q36" s="21">
        <f t="shared" si="19"/>
        <v>0</v>
      </c>
      <c r="R36" s="21">
        <f t="shared" si="19"/>
        <v>0</v>
      </c>
      <c r="S36" s="21">
        <f t="shared" si="19"/>
        <v>0</v>
      </c>
    </row>
    <row r="37" spans="2:19" x14ac:dyDescent="0.2">
      <c r="B37" t="s">
        <v>442</v>
      </c>
      <c r="J37" s="21">
        <f>IF(2026=2031,J36,0)</f>
        <v>0</v>
      </c>
      <c r="K37" s="21">
        <f>IF(2027=2031,K36,0)</f>
        <v>0</v>
      </c>
      <c r="L37" s="21">
        <f>IF(2028=2031,L36,0)</f>
        <v>0</v>
      </c>
      <c r="M37" s="21">
        <f>IF(2029=2031,M36,0)</f>
        <v>0</v>
      </c>
      <c r="N37" s="21">
        <f>IF(2030=2031,N36,0)</f>
        <v>0</v>
      </c>
      <c r="O37" s="21">
        <f>IF(2031=2031,O36,0)</f>
        <v>350</v>
      </c>
      <c r="P37" s="21">
        <f>IF(2032=2031,P36,0)</f>
        <v>0</v>
      </c>
      <c r="Q37" s="21">
        <f>IF(2033=2031,Q36,0)</f>
        <v>0</v>
      </c>
      <c r="R37" s="21">
        <f>IF(2034=2031,R36,0)</f>
        <v>0</v>
      </c>
      <c r="S37" s="21">
        <f>IF(2035=2031,S36,0)</f>
        <v>0</v>
      </c>
    </row>
    <row r="38" spans="2:19" x14ac:dyDescent="0.2">
      <c r="B38" s="1" t="s">
        <v>432</v>
      </c>
      <c r="H38" s="41">
        <f>Hist!H106</f>
        <v>350</v>
      </c>
      <c r="I38" s="41">
        <f>Hist!I106</f>
        <v>350</v>
      </c>
      <c r="J38" s="41">
        <f t="shared" ref="J38:S38" si="20">J36-J37</f>
        <v>350</v>
      </c>
      <c r="K38" s="41">
        <f t="shared" si="20"/>
        <v>350</v>
      </c>
      <c r="L38" s="41">
        <f t="shared" si="20"/>
        <v>350</v>
      </c>
      <c r="M38" s="41">
        <f t="shared" si="20"/>
        <v>350</v>
      </c>
      <c r="N38" s="41">
        <f t="shared" si="20"/>
        <v>350</v>
      </c>
      <c r="O38" s="41">
        <f t="shared" si="20"/>
        <v>0</v>
      </c>
      <c r="P38" s="41">
        <f t="shared" si="20"/>
        <v>0</v>
      </c>
      <c r="Q38" s="41">
        <f t="shared" si="20"/>
        <v>0</v>
      </c>
      <c r="R38" s="41">
        <f t="shared" si="20"/>
        <v>0</v>
      </c>
      <c r="S38" s="41">
        <f t="shared" si="20"/>
        <v>0</v>
      </c>
    </row>
    <row r="39" spans="2:19" x14ac:dyDescent="0.2">
      <c r="B39" t="s">
        <v>434</v>
      </c>
      <c r="J39" s="21">
        <f t="shared" ref="J39:S39" si="21">Coupon_Notes31*IF(CircSwitch=1,AVERAGE(J36,J38),J36)</f>
        <v>14.4375</v>
      </c>
      <c r="K39" s="21">
        <f t="shared" si="21"/>
        <v>14.4375</v>
      </c>
      <c r="L39" s="21">
        <f t="shared" si="21"/>
        <v>14.4375</v>
      </c>
      <c r="M39" s="21">
        <f t="shared" si="21"/>
        <v>14.4375</v>
      </c>
      <c r="N39" s="21">
        <f t="shared" si="21"/>
        <v>14.4375</v>
      </c>
      <c r="O39" s="21">
        <f t="shared" si="21"/>
        <v>7.21875</v>
      </c>
      <c r="P39" s="21">
        <f t="shared" si="21"/>
        <v>0</v>
      </c>
      <c r="Q39" s="21">
        <f t="shared" si="21"/>
        <v>0</v>
      </c>
      <c r="R39" s="21">
        <f t="shared" si="21"/>
        <v>0</v>
      </c>
      <c r="S39" s="21">
        <f t="shared" si="21"/>
        <v>0</v>
      </c>
    </row>
    <row r="40" spans="2:19" x14ac:dyDescent="0.2">
      <c r="B40" s="3" t="s">
        <v>444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</row>
    <row r="41" spans="2:19" x14ac:dyDescent="0.2">
      <c r="B41" t="s">
        <v>430</v>
      </c>
      <c r="J41" s="21">
        <f t="shared" ref="J41:S41" si="22">I43</f>
        <v>0</v>
      </c>
      <c r="K41" s="21">
        <f t="shared" si="22"/>
        <v>0</v>
      </c>
      <c r="L41" s="21">
        <f t="shared" si="22"/>
        <v>0</v>
      </c>
      <c r="M41" s="21">
        <f t="shared" si="22"/>
        <v>0</v>
      </c>
      <c r="N41" s="21">
        <f t="shared" si="22"/>
        <v>350</v>
      </c>
      <c r="O41" s="21">
        <f t="shared" si="22"/>
        <v>350</v>
      </c>
      <c r="P41" s="21">
        <f t="shared" si="22"/>
        <v>700</v>
      </c>
      <c r="Q41" s="21">
        <f t="shared" si="22"/>
        <v>700</v>
      </c>
      <c r="R41" s="21">
        <f t="shared" si="22"/>
        <v>700</v>
      </c>
      <c r="S41" s="21">
        <f t="shared" si="22"/>
        <v>700</v>
      </c>
    </row>
    <row r="42" spans="2:19" x14ac:dyDescent="0.2">
      <c r="B42" t="s">
        <v>445</v>
      </c>
      <c r="J42" s="21">
        <f t="shared" ref="J42:S42" si="23">RefiSwitch*(J32+J37)</f>
        <v>0</v>
      </c>
      <c r="K42" s="21">
        <f t="shared" si="23"/>
        <v>0</v>
      </c>
      <c r="L42" s="21">
        <f t="shared" si="23"/>
        <v>0</v>
      </c>
      <c r="M42" s="21">
        <f t="shared" si="23"/>
        <v>350</v>
      </c>
      <c r="N42" s="21">
        <f t="shared" si="23"/>
        <v>0</v>
      </c>
      <c r="O42" s="21">
        <f t="shared" si="23"/>
        <v>350</v>
      </c>
      <c r="P42" s="21">
        <f t="shared" si="23"/>
        <v>0</v>
      </c>
      <c r="Q42" s="21">
        <f t="shared" si="23"/>
        <v>0</v>
      </c>
      <c r="R42" s="21">
        <f t="shared" si="23"/>
        <v>0</v>
      </c>
      <c r="S42" s="21">
        <f t="shared" si="23"/>
        <v>0</v>
      </c>
    </row>
    <row r="43" spans="2:19" x14ac:dyDescent="0.2">
      <c r="B43" s="1" t="s">
        <v>432</v>
      </c>
      <c r="H43" s="41">
        <f>0</f>
        <v>0</v>
      </c>
      <c r="I43" s="41">
        <f>0</f>
        <v>0</v>
      </c>
      <c r="J43" s="41">
        <f t="shared" ref="J43:S43" si="24">J41+J42</f>
        <v>0</v>
      </c>
      <c r="K43" s="41">
        <f t="shared" si="24"/>
        <v>0</v>
      </c>
      <c r="L43" s="41">
        <f t="shared" si="24"/>
        <v>0</v>
      </c>
      <c r="M43" s="41">
        <f t="shared" si="24"/>
        <v>350</v>
      </c>
      <c r="N43" s="41">
        <f t="shared" si="24"/>
        <v>350</v>
      </c>
      <c r="O43" s="41">
        <f t="shared" si="24"/>
        <v>700</v>
      </c>
      <c r="P43" s="41">
        <f t="shared" si="24"/>
        <v>700</v>
      </c>
      <c r="Q43" s="41">
        <f t="shared" si="24"/>
        <v>700</v>
      </c>
      <c r="R43" s="41">
        <f t="shared" si="24"/>
        <v>700</v>
      </c>
      <c r="S43" s="41">
        <f t="shared" si="24"/>
        <v>700</v>
      </c>
    </row>
    <row r="44" spans="2:19" x14ac:dyDescent="0.2">
      <c r="B44" t="s">
        <v>434</v>
      </c>
      <c r="J44" s="21">
        <f t="shared" ref="J44:S44" si="25">RefiCoupon*IF(CircSwitch=1,AVERAGE(J41,J43),J41)</f>
        <v>0</v>
      </c>
      <c r="K44" s="21">
        <f t="shared" si="25"/>
        <v>0</v>
      </c>
      <c r="L44" s="21">
        <f t="shared" si="25"/>
        <v>0</v>
      </c>
      <c r="M44" s="21">
        <f t="shared" si="25"/>
        <v>10.0625</v>
      </c>
      <c r="N44" s="21">
        <f t="shared" si="25"/>
        <v>20.125</v>
      </c>
      <c r="O44" s="21">
        <f t="shared" si="25"/>
        <v>30.1875</v>
      </c>
      <c r="P44" s="21">
        <f t="shared" si="25"/>
        <v>40.25</v>
      </c>
      <c r="Q44" s="21">
        <f t="shared" si="25"/>
        <v>40.25</v>
      </c>
      <c r="R44" s="21">
        <f t="shared" si="25"/>
        <v>40.25</v>
      </c>
      <c r="S44" s="21">
        <f t="shared" si="25"/>
        <v>40.25</v>
      </c>
    </row>
    <row r="45" spans="2:19" x14ac:dyDescent="0.2">
      <c r="B45" s="3" t="s">
        <v>446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</row>
    <row r="46" spans="2:19" x14ac:dyDescent="0.2">
      <c r="B46" s="1" t="s">
        <v>447</v>
      </c>
      <c r="H46" s="42">
        <f t="shared" ref="H46:S46" si="26">H18+H27+H33+H38+H43</f>
        <v>1390</v>
      </c>
      <c r="I46" s="42">
        <f t="shared" si="26"/>
        <v>1262</v>
      </c>
      <c r="J46" s="42">
        <f t="shared" ca="1" si="26"/>
        <v>1136.1187885634663</v>
      </c>
      <c r="K46" s="42">
        <f t="shared" ca="1" si="26"/>
        <v>978.27514164476463</v>
      </c>
      <c r="L46" s="42">
        <f t="shared" ca="1" si="26"/>
        <v>809.38043162514293</v>
      </c>
      <c r="M46" s="42">
        <f t="shared" ca="1" si="26"/>
        <v>700</v>
      </c>
      <c r="N46" s="42">
        <f t="shared" ca="1" si="26"/>
        <v>700</v>
      </c>
      <c r="O46" s="42">
        <f t="shared" ca="1" si="26"/>
        <v>700</v>
      </c>
      <c r="P46" s="42">
        <f t="shared" ca="1" si="26"/>
        <v>700</v>
      </c>
      <c r="Q46" s="42">
        <f t="shared" ca="1" si="26"/>
        <v>700</v>
      </c>
      <c r="R46" s="42">
        <f t="shared" ca="1" si="26"/>
        <v>700</v>
      </c>
      <c r="S46" s="42">
        <f t="shared" ca="1" si="26"/>
        <v>700</v>
      </c>
    </row>
    <row r="47" spans="2:19" x14ac:dyDescent="0.2">
      <c r="B47" t="s">
        <v>448</v>
      </c>
      <c r="J47" s="21">
        <f t="shared" ref="J47:S47" si="27">I49</f>
        <v>31.114999999999998</v>
      </c>
      <c r="K47" s="21">
        <f t="shared" si="27"/>
        <v>22.114999999999998</v>
      </c>
      <c r="L47" s="21">
        <f t="shared" si="27"/>
        <v>13.114999999999998</v>
      </c>
      <c r="M47" s="21">
        <f t="shared" si="27"/>
        <v>4.1149999999999984</v>
      </c>
      <c r="N47" s="21">
        <f t="shared" si="27"/>
        <v>0</v>
      </c>
      <c r="O47" s="21">
        <f t="shared" si="27"/>
        <v>0</v>
      </c>
      <c r="P47" s="21">
        <f t="shared" si="27"/>
        <v>0</v>
      </c>
      <c r="Q47" s="21">
        <f t="shared" si="27"/>
        <v>0</v>
      </c>
      <c r="R47" s="21">
        <f t="shared" si="27"/>
        <v>0</v>
      </c>
      <c r="S47" s="21">
        <f t="shared" si="27"/>
        <v>0</v>
      </c>
    </row>
    <row r="48" spans="2:19" x14ac:dyDescent="0.2">
      <c r="B48" t="s">
        <v>449</v>
      </c>
      <c r="J48" s="21">
        <f t="shared" ref="J48:S48" si="28">MIN(J47,FeeAmort)</f>
        <v>9</v>
      </c>
      <c r="K48" s="21">
        <f t="shared" si="28"/>
        <v>9</v>
      </c>
      <c r="L48" s="21">
        <f t="shared" si="28"/>
        <v>9</v>
      </c>
      <c r="M48" s="21">
        <f t="shared" si="28"/>
        <v>4.1149999999999984</v>
      </c>
      <c r="N48" s="21">
        <f t="shared" si="28"/>
        <v>0</v>
      </c>
      <c r="O48" s="21">
        <f t="shared" si="28"/>
        <v>0</v>
      </c>
      <c r="P48" s="21">
        <f t="shared" si="28"/>
        <v>0</v>
      </c>
      <c r="Q48" s="21">
        <f t="shared" si="28"/>
        <v>0</v>
      </c>
      <c r="R48" s="21">
        <f t="shared" si="28"/>
        <v>0</v>
      </c>
      <c r="S48" s="21">
        <f t="shared" si="28"/>
        <v>0</v>
      </c>
    </row>
    <row r="49" spans="2:19" x14ac:dyDescent="0.2">
      <c r="B49" t="s">
        <v>450</v>
      </c>
      <c r="E49" s="16">
        <f>Hist!E61</f>
        <v>13.61</v>
      </c>
      <c r="F49" s="16">
        <f>Hist!F61</f>
        <v>56.972999999999999</v>
      </c>
      <c r="G49" s="16">
        <f>Hist!G61</f>
        <v>49.003999999999998</v>
      </c>
      <c r="H49" s="16">
        <f>Hist!H61</f>
        <v>40.661000000000001</v>
      </c>
      <c r="I49" s="16">
        <f>Hist!I61</f>
        <v>31.114999999999998</v>
      </c>
      <c r="J49" s="21">
        <f t="shared" ref="J49:S49" si="29">J47-J48</f>
        <v>22.114999999999998</v>
      </c>
      <c r="K49" s="21">
        <f t="shared" si="29"/>
        <v>13.114999999999998</v>
      </c>
      <c r="L49" s="21">
        <f t="shared" si="29"/>
        <v>4.1149999999999984</v>
      </c>
      <c r="M49" s="21">
        <f t="shared" si="29"/>
        <v>0</v>
      </c>
      <c r="N49" s="21">
        <f t="shared" si="29"/>
        <v>0</v>
      </c>
      <c r="O49" s="21">
        <f t="shared" si="29"/>
        <v>0</v>
      </c>
      <c r="P49" s="21">
        <f t="shared" si="29"/>
        <v>0</v>
      </c>
      <c r="Q49" s="21">
        <f t="shared" si="29"/>
        <v>0</v>
      </c>
      <c r="R49" s="21">
        <f t="shared" si="29"/>
        <v>0</v>
      </c>
      <c r="S49" s="21">
        <f t="shared" si="29"/>
        <v>0</v>
      </c>
    </row>
    <row r="50" spans="2:19" x14ac:dyDescent="0.2">
      <c r="B50" s="1" t="s">
        <v>451</v>
      </c>
      <c r="E50" s="41">
        <f>Hist!E53+Hist!E50</f>
        <v>771.39</v>
      </c>
      <c r="F50" s="41">
        <f>Hist!F53+Hist!F50</f>
        <v>2322.3890000000001</v>
      </c>
      <c r="G50" s="41">
        <f>Hist!G53+Hist!G50</f>
        <v>1664.3240000000001</v>
      </c>
      <c r="H50" s="41">
        <f>Hist!H53+Hist!H50</f>
        <v>1349.3389999999999</v>
      </c>
      <c r="I50" s="41">
        <f>Hist!I53+Hist!I50</f>
        <v>1230.885</v>
      </c>
      <c r="J50" s="41">
        <f t="shared" ref="J50:S50" ca="1" si="30">J46-J49</f>
        <v>1114.0037885634663</v>
      </c>
      <c r="K50" s="41">
        <f t="shared" ca="1" si="30"/>
        <v>965.16014164476462</v>
      </c>
      <c r="L50" s="41">
        <f t="shared" ca="1" si="30"/>
        <v>805.26543162514292</v>
      </c>
      <c r="M50" s="41">
        <f t="shared" ca="1" si="30"/>
        <v>700</v>
      </c>
      <c r="N50" s="41">
        <f t="shared" ca="1" si="30"/>
        <v>700</v>
      </c>
      <c r="O50" s="41">
        <f t="shared" ca="1" si="30"/>
        <v>700</v>
      </c>
      <c r="P50" s="41">
        <f t="shared" ca="1" si="30"/>
        <v>700</v>
      </c>
      <c r="Q50" s="41">
        <f t="shared" ca="1" si="30"/>
        <v>700</v>
      </c>
      <c r="R50" s="41">
        <f t="shared" ca="1" si="30"/>
        <v>700</v>
      </c>
      <c r="S50" s="41">
        <f t="shared" ca="1" si="30"/>
        <v>700</v>
      </c>
    </row>
    <row r="51" spans="2:19" x14ac:dyDescent="0.2">
      <c r="B51" s="1" t="s">
        <v>452</v>
      </c>
      <c r="E51" s="42">
        <f>Hist!E14</f>
        <v>21.646999999999998</v>
      </c>
      <c r="F51" s="42">
        <f>Hist!F14</f>
        <v>136.15799999999999</v>
      </c>
      <c r="G51" s="42">
        <f>Hist!G14</f>
        <v>161.351</v>
      </c>
      <c r="H51" s="42">
        <f>Hist!H14</f>
        <v>109.264</v>
      </c>
      <c r="I51" s="42">
        <f>Hist!I14</f>
        <v>88.287000000000006</v>
      </c>
      <c r="J51" s="42">
        <f t="shared" ref="J51:S51" ca="1" si="31">J20+J21+J29+J34+J39+J44+J48</f>
        <v>69.961563656903991</v>
      </c>
      <c r="K51" s="42">
        <f t="shared" ca="1" si="31"/>
        <v>60.851325493486655</v>
      </c>
      <c r="L51" s="42">
        <f t="shared" ca="1" si="31"/>
        <v>50.973028264922419</v>
      </c>
      <c r="M51" s="42">
        <f t="shared" ca="1" si="31"/>
        <v>41.060461869691522</v>
      </c>
      <c r="N51" s="42">
        <f t="shared" ca="1" si="31"/>
        <v>36.5625</v>
      </c>
      <c r="O51" s="42">
        <f t="shared" ca="1" si="31"/>
        <v>39.40625</v>
      </c>
      <c r="P51" s="42">
        <f t="shared" ca="1" si="31"/>
        <v>42.25</v>
      </c>
      <c r="Q51" s="42">
        <f t="shared" ca="1" si="31"/>
        <v>42.25</v>
      </c>
      <c r="R51" s="42">
        <f t="shared" ca="1" si="31"/>
        <v>42.25</v>
      </c>
      <c r="S51" s="42">
        <f t="shared" ca="1" si="31"/>
        <v>42.25</v>
      </c>
    </row>
    <row r="52" spans="2:19" x14ac:dyDescent="0.2">
      <c r="B52" t="s">
        <v>453</v>
      </c>
      <c r="E52" s="16">
        <f>Hist!E13</f>
        <v>0.77500000000000002</v>
      </c>
      <c r="F52" s="16">
        <f>Hist!F13</f>
        <v>1.02</v>
      </c>
      <c r="G52" s="16">
        <f>Hist!G13</f>
        <v>2.4060000000000001</v>
      </c>
      <c r="H52" s="16">
        <f>Hist!H13</f>
        <v>3.484</v>
      </c>
      <c r="I52" s="16">
        <f>Hist!I13</f>
        <v>1.8440000000000001</v>
      </c>
      <c r="J52" s="21">
        <f ca="1">CashRate*IF(CircSwitch=1,AVERAGE(BS!I7,BS!J7),BS!I7)</f>
        <v>4.2053099999999928</v>
      </c>
      <c r="K52" s="21">
        <f ca="1">CashRate*IF(CircSwitch=1,AVERAGE(BS!J7,BS!K7),BS!J7)</f>
        <v>4.5000000000000062</v>
      </c>
      <c r="L52" s="21">
        <f ca="1">CashRate*IF(CircSwitch=1,AVERAGE(BS!K7,BS!L7),BS!K7)</f>
        <v>4.4999999999999849</v>
      </c>
      <c r="M52" s="21">
        <f ca="1">CashRate*IF(CircSwitch=1,AVERAGE(BS!L7,BS!M7),BS!L7)</f>
        <v>5.5321816106367887</v>
      </c>
      <c r="N52" s="21">
        <f ca="1">CashRate*IF(CircSwitch=1,AVERAGE(BS!M7,BS!N7),BS!M7)</f>
        <v>5.5321816106368162</v>
      </c>
      <c r="O52" s="21">
        <f ca="1">CashRate*IF(CircSwitch=1,AVERAGE(BS!N7,BS!O7),BS!N7)</f>
        <v>4.4999999999999991</v>
      </c>
      <c r="P52" s="21">
        <f ca="1">CashRate*IF(CircSwitch=1,AVERAGE(BS!O7,BS!P7),BS!O7)</f>
        <v>4.5000000000000009</v>
      </c>
      <c r="Q52" s="21">
        <f ca="1">CashRate*IF(CircSwitch=1,AVERAGE(BS!P7,BS!Q7),BS!P7)</f>
        <v>4.5000000000000027</v>
      </c>
      <c r="R52" s="21">
        <f ca="1">CashRate*IF(CircSwitch=1,AVERAGE(BS!Q7,BS!R7),BS!Q7)</f>
        <v>4.5000000000003366</v>
      </c>
      <c r="S52" s="21">
        <f ca="1">CashRate*IF(CircSwitch=1,AVERAGE(BS!R7,BS!S7),BS!R7)</f>
        <v>4.5000000010185213</v>
      </c>
    </row>
    <row r="53" spans="2:19" x14ac:dyDescent="0.2">
      <c r="B53" s="3" t="s">
        <v>454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spans="2:19" x14ac:dyDescent="0.2">
      <c r="B54" t="s">
        <v>348</v>
      </c>
      <c r="E54" s="21">
        <f>E50-BS!E7</f>
        <v>558.19299999999998</v>
      </c>
      <c r="F54" s="21">
        <f>F50-BS!F7</f>
        <v>2130.7600000000002</v>
      </c>
      <c r="G54" s="21">
        <f>G50-BS!G7</f>
        <v>1515.0360000000001</v>
      </c>
      <c r="H54" s="21">
        <f>H50-BS!H7</f>
        <v>1168.8539999999998</v>
      </c>
      <c r="I54" s="21">
        <f>I50-BS!I7</f>
        <v>1100.5309999999999</v>
      </c>
      <c r="J54" s="21">
        <f ca="1">J50-BS!J7</f>
        <v>964.00378856346674</v>
      </c>
      <c r="K54" s="21">
        <f ca="1">K50-BS!K7</f>
        <v>815.16014164476371</v>
      </c>
      <c r="L54" s="21">
        <f ca="1">L50-BS!L7</f>
        <v>655.26543162514474</v>
      </c>
      <c r="M54" s="21">
        <f ca="1">M50-BS!M7</f>
        <v>481.18789262421217</v>
      </c>
      <c r="N54" s="21">
        <f ca="1">N50-BS!N7</f>
        <v>550</v>
      </c>
      <c r="O54" s="21">
        <f ca="1">O50-BS!O7</f>
        <v>550</v>
      </c>
      <c r="P54" s="21">
        <f ca="1">P50-BS!P7</f>
        <v>549.99999999999989</v>
      </c>
      <c r="Q54" s="21">
        <f ca="1">Q50-BS!Q7</f>
        <v>549.99999999999989</v>
      </c>
      <c r="R54" s="21">
        <f ca="1">R50-BS!R7</f>
        <v>549.9999999999776</v>
      </c>
      <c r="S54" s="21">
        <f ca="1">S50-BS!S7</f>
        <v>549.99999993212089</v>
      </c>
    </row>
    <row r="55" spans="2:19" x14ac:dyDescent="0.2">
      <c r="B55" t="s">
        <v>34</v>
      </c>
      <c r="E55" s="31">
        <f>E54/IS!E33</f>
        <v>0.78064583799507681</v>
      </c>
      <c r="F55" s="31">
        <f>F54/IS!F33</f>
        <v>2.3941527104389397</v>
      </c>
      <c r="G55" s="31">
        <f>G54/IS!G33</f>
        <v>1.3768373298533048</v>
      </c>
      <c r="H55" s="31">
        <f>H54/IS!H33</f>
        <v>1.0475169671447249</v>
      </c>
      <c r="I55" s="31">
        <f>I54/IS!I33</f>
        <v>1.1381914796796402</v>
      </c>
      <c r="J55" s="31">
        <f ca="1">J54/IS!J33</f>
        <v>0.99378564506262013</v>
      </c>
      <c r="K55" s="31">
        <f ca="1">K54/IS!K33</f>
        <v>0.79045424928336738</v>
      </c>
      <c r="L55" s="31">
        <f ca="1">L54/IS!L33</f>
        <v>0.60045270175773002</v>
      </c>
      <c r="M55" s="31">
        <f ca="1">M54/IS!M33</f>
        <v>0.42015140521958577</v>
      </c>
      <c r="N55" s="31">
        <f ca="1">N54/IS!N33</f>
        <v>0.46036727666415755</v>
      </c>
      <c r="O55" s="31">
        <f ca="1">O54/IS!O33</f>
        <v>0.44344459516333751</v>
      </c>
      <c r="P55" s="31">
        <f ca="1">P54/IS!P33</f>
        <v>0.42796857686512862</v>
      </c>
      <c r="Q55" s="31">
        <f ca="1">Q54/IS!Q33</f>
        <v>0.41394444339651287</v>
      </c>
      <c r="R55" s="31">
        <f ca="1">R54/IS!R33</f>
        <v>0.40129976249128946</v>
      </c>
      <c r="S55" s="31">
        <f ca="1">S54/IS!S33</f>
        <v>0.38996238073250505</v>
      </c>
    </row>
    <row r="56" spans="2:19" x14ac:dyDescent="0.2">
      <c r="B56" t="s">
        <v>455</v>
      </c>
      <c r="E56" s="31">
        <f>E50/IS!E33</f>
        <v>1.078806780040277</v>
      </c>
      <c r="F56" s="31">
        <f>F50/IS!F33</f>
        <v>2.6094698225250981</v>
      </c>
      <c r="G56" s="31">
        <f>G50/IS!G33</f>
        <v>1.5125075656095113</v>
      </c>
      <c r="H56" s="31">
        <f>H50/IS!H33</f>
        <v>1.209266081931615</v>
      </c>
      <c r="I56" s="31">
        <f>I50/IS!I33</f>
        <v>1.2730062301429708</v>
      </c>
      <c r="J56" s="31">
        <f ca="1">J50/IS!J33</f>
        <v>1.1484197331521799</v>
      </c>
      <c r="K56" s="31">
        <f ca="1">K50/IS!K33</f>
        <v>0.93590804582605491</v>
      </c>
      <c r="L56" s="31">
        <f ca="1">L50/IS!L33</f>
        <v>0.73790525291746101</v>
      </c>
      <c r="M56" s="31">
        <f ca="1">M50/IS!M33</f>
        <v>0.61120819572115592</v>
      </c>
      <c r="N56" s="31">
        <f ca="1">N50/IS!N33</f>
        <v>0.585921988481655</v>
      </c>
      <c r="O56" s="31">
        <f ca="1">O50/IS!O33</f>
        <v>0.56438403020788408</v>
      </c>
      <c r="P56" s="31">
        <f ca="1">P50/IS!P33</f>
        <v>0.54468727964652741</v>
      </c>
      <c r="Q56" s="31">
        <f ca="1">Q50/IS!Q33</f>
        <v>0.52683838250465287</v>
      </c>
      <c r="R56" s="31">
        <f ca="1">R50/IS!R33</f>
        <v>0.51074515226166195</v>
      </c>
      <c r="S56" s="31">
        <f ca="1">S50/IS!S33</f>
        <v>0.49631575735716915</v>
      </c>
    </row>
    <row r="57" spans="2:19" x14ac:dyDescent="0.2">
      <c r="B57" t="s">
        <v>456</v>
      </c>
      <c r="E57" s="31">
        <f>(E50+Fixed_Assets!E21)/(IS!E33+Fixed_Assets!E26)</f>
        <v>1.2459981146299794</v>
      </c>
      <c r="F57" s="31">
        <f>(F50+Fixed_Assets!F21)/(IS!F33+Fixed_Assets!F26)</f>
        <v>2.7144060075502319</v>
      </c>
      <c r="G57" s="31">
        <f>(G50+Fixed_Assets!G21)/(IS!G33+Fixed_Assets!G26)</f>
        <v>1.69194951848308</v>
      </c>
      <c r="H57" s="31">
        <f>(H50+Fixed_Assets!H21)/(IS!H33+Fixed_Assets!H26)</f>
        <v>1.4166098372722553</v>
      </c>
      <c r="I57" s="31">
        <f>(I50+Fixed_Assets!I21)/(IS!I33+Fixed_Assets!I26)</f>
        <v>1.506545310275619</v>
      </c>
      <c r="J57" s="31">
        <f ca="1">(J50+Fixed_Assets!J21)/(IS!J33+Fixed_Assets!J26)</f>
        <v>1.3973659113039563</v>
      </c>
      <c r="K57" s="31">
        <f ca="1">(K50+Fixed_Assets!K21)/(IS!K33+Fixed_Assets!K26)</f>
        <v>1.1993895844187612</v>
      </c>
      <c r="L57" s="31">
        <f ca="1">(L50+Fixed_Assets!L21)/(IS!L33+Fixed_Assets!L26)</f>
        <v>1.0163722189673221</v>
      </c>
      <c r="M57" s="31">
        <f ca="1">(M50+Fixed_Assets!M21)/(IS!M33+Fixed_Assets!M26)</f>
        <v>0.89966014177606601</v>
      </c>
      <c r="N57" s="31">
        <f ca="1">(N50+Fixed_Assets!N21)/(IS!N33+Fixed_Assets!N26)</f>
        <v>0.87567975426548184</v>
      </c>
      <c r="O57" s="31">
        <f ca="1">(O50+Fixed_Assets!O21)/(IS!O33+Fixed_Assets!O26)</f>
        <v>0.85587155101663426</v>
      </c>
      <c r="P57" s="31">
        <f ca="1">(P50+Fixed_Assets!P21)/(IS!P33+Fixed_Assets!P26)</f>
        <v>0.83772958444304169</v>
      </c>
      <c r="Q57" s="31">
        <f ca="1">(Q50+Fixed_Assets!Q21)/(IS!Q33+Fixed_Assets!Q26)</f>
        <v>0.82130821194991555</v>
      </c>
      <c r="R57" s="31">
        <f ca="1">(R50+Fixed_Assets!R21)/(IS!R33+Fixed_Assets!R26)</f>
        <v>0.80652772723058974</v>
      </c>
      <c r="S57" s="31">
        <f ca="1">(S50+Fixed_Assets!S21)/(IS!S33+Fixed_Assets!S26)</f>
        <v>0.79330834576855547</v>
      </c>
    </row>
    <row r="58" spans="2:19" x14ac:dyDescent="0.2">
      <c r="B58" t="s">
        <v>457</v>
      </c>
      <c r="E58" s="31">
        <f>IS!E33/E51</f>
        <v>33.031828890839392</v>
      </c>
      <c r="F58" s="31">
        <f>IS!F33/F51</f>
        <v>6.5364135783428097</v>
      </c>
      <c r="G58" s="31">
        <f>IS!G33/G51</f>
        <v>6.8197532088428323</v>
      </c>
      <c r="H58" s="31">
        <f>IS!H33/H51</f>
        <v>10.212265705081272</v>
      </c>
      <c r="I58" s="31">
        <f>IS!I33/I51</f>
        <v>10.95191817594889</v>
      </c>
      <c r="J58" s="31">
        <f ca="1">IS!J33/J51</f>
        <v>13.865211988644205</v>
      </c>
      <c r="K58" s="31">
        <f ca="1">IS!K33/K51</f>
        <v>16.947129768040668</v>
      </c>
      <c r="L58" s="31">
        <f ca="1">IS!L33/L51</f>
        <v>21.409080676911429</v>
      </c>
      <c r="M58" s="31">
        <f ca="1">IS!M33/M51</f>
        <v>27.892345793052371</v>
      </c>
      <c r="N58" s="31">
        <f ca="1">IS!N33/N51</f>
        <v>32.675508893106809</v>
      </c>
      <c r="O58" s="31">
        <f ca="1">IS!O33/O51</f>
        <v>31.474454748137866</v>
      </c>
      <c r="P58" s="31">
        <f ca="1">IS!P33/P51</f>
        <v>30.417540405991989</v>
      </c>
      <c r="Q58" s="31">
        <f ca="1">IS!Q33/Q51</f>
        <v>31.44806431625506</v>
      </c>
      <c r="R58" s="31">
        <f ca="1">IS!R33/R51</f>
        <v>32.438971302834929</v>
      </c>
      <c r="S58" s="31">
        <f ca="1">IS!S33/S51</f>
        <v>33.382069965904911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S21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458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459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t="s">
        <v>460</v>
      </c>
      <c r="F7" s="21">
        <f t="shared" ref="F7:S7" si="0">E12</f>
        <v>14.082000000000001</v>
      </c>
      <c r="G7" s="21">
        <f t="shared" si="0"/>
        <v>817.93100000000004</v>
      </c>
      <c r="H7" s="21">
        <f t="shared" si="0"/>
        <v>1453.923</v>
      </c>
      <c r="I7" s="21">
        <f t="shared" si="0"/>
        <v>1835.732</v>
      </c>
      <c r="J7" s="21">
        <f t="shared" si="0"/>
        <v>1293.2829999999999</v>
      </c>
      <c r="K7" s="21">
        <f t="shared" ca="1" si="0"/>
        <v>1384.8940183412501</v>
      </c>
      <c r="L7" s="21">
        <f t="shared" ca="1" si="0"/>
        <v>1491.5807261200355</v>
      </c>
      <c r="M7" s="21">
        <f t="shared" ca="1" si="0"/>
        <v>1609.7367426214059</v>
      </c>
      <c r="N7" s="21">
        <f t="shared" ca="1" si="0"/>
        <v>1742.4182876829182</v>
      </c>
      <c r="O7" s="21">
        <f t="shared" ca="1" si="0"/>
        <v>1632.0563700371215</v>
      </c>
      <c r="P7" s="21">
        <f t="shared" ca="1" si="0"/>
        <v>1589.2391732293563</v>
      </c>
      <c r="Q7" s="21">
        <f t="shared" ca="1" si="0"/>
        <v>1544.8284974075307</v>
      </c>
      <c r="R7" s="21">
        <f t="shared" ca="1" si="0"/>
        <v>1498.6390538753676</v>
      </c>
      <c r="S7" s="21">
        <f t="shared" ca="1" si="0"/>
        <v>1450.6137376337733</v>
      </c>
    </row>
    <row r="8" spans="2:19" x14ac:dyDescent="0.2">
      <c r="B8" t="s">
        <v>292</v>
      </c>
      <c r="E8" s="16">
        <f>IS!E23</f>
        <v>725.6940000000003</v>
      </c>
      <c r="F8" s="16">
        <f>IS!F23</f>
        <v>540.15900000000011</v>
      </c>
      <c r="G8" s="16">
        <f>IS!G23</f>
        <v>792.56599999999958</v>
      </c>
      <c r="H8" s="16">
        <f>IS!H23</f>
        <v>950.07200000000012</v>
      </c>
      <c r="I8" s="16">
        <f>IS!I23</f>
        <v>-81.198000000000121</v>
      </c>
      <c r="J8" s="16">
        <f ca="1">IS!J23</f>
        <v>636.78363017738388</v>
      </c>
      <c r="K8" s="16">
        <f ca="1">IS!K23</f>
        <v>699.82968311779632</v>
      </c>
      <c r="L8" s="16">
        <f ca="1">IS!L23</f>
        <v>753.92429156819446</v>
      </c>
      <c r="M8" s="16">
        <f ca="1">IS!M23</f>
        <v>803.99598308916541</v>
      </c>
      <c r="N8" s="16">
        <f ca="1">IS!N23</f>
        <v>845.41189858833366</v>
      </c>
      <c r="O8" s="16">
        <f ca="1">IS!O23</f>
        <v>876.01482225971927</v>
      </c>
      <c r="P8" s="16">
        <f ca="1">IS!P23</f>
        <v>906.66147272820285</v>
      </c>
      <c r="Q8" s="16">
        <f ca="1">IS!Q23</f>
        <v>938.49202790812706</v>
      </c>
      <c r="R8" s="16">
        <f ca="1">IS!R23</f>
        <v>969.02150964291832</v>
      </c>
      <c r="S8" s="16">
        <f ca="1">IS!S23</f>
        <v>997.99595549506478</v>
      </c>
    </row>
    <row r="9" spans="2:19" x14ac:dyDescent="0.2">
      <c r="B9" t="s">
        <v>354</v>
      </c>
      <c r="E9" s="16">
        <f>Hist!E23</f>
        <v>38.122</v>
      </c>
      <c r="F9" s="16">
        <f>Hist!F23</f>
        <v>31.303000000000001</v>
      </c>
      <c r="G9" s="16">
        <f>Hist!G23</f>
        <v>29.071999999999999</v>
      </c>
      <c r="H9" s="16">
        <f>Hist!H23</f>
        <v>33.052999999999997</v>
      </c>
      <c r="I9" s="16">
        <f>Hist!I23</f>
        <v>36.701000000000001</v>
      </c>
      <c r="J9" s="21">
        <f>IS!J7*Inputs!J100</f>
        <v>36.936233909999999</v>
      </c>
      <c r="K9" s="21">
        <f>IS!K7*Inputs!K100</f>
        <v>38.231612335800001</v>
      </c>
      <c r="L9" s="21">
        <f>IS!L7*Inputs!L100</f>
        <v>39.810565011653992</v>
      </c>
      <c r="M9" s="21">
        <f>IS!M7*Inputs!M100</f>
        <v>41.455717976076478</v>
      </c>
      <c r="N9" s="21">
        <f>IS!N7*Inputs!N100</f>
        <v>43.067934298952963</v>
      </c>
      <c r="O9" s="21">
        <f>IS!O7*Inputs!O100</f>
        <v>44.661950200181167</v>
      </c>
      <c r="P9" s="21">
        <f>IS!P7*Inputs!P100</f>
        <v>46.225966848617553</v>
      </c>
      <c r="Q9" s="21">
        <f>IS!Q7*Inputs!Q100</f>
        <v>47.748167695797981</v>
      </c>
      <c r="R9" s="21">
        <f>IS!R7*Inputs!R100</f>
        <v>49.217001050127962</v>
      </c>
      <c r="S9" s="21">
        <f>IS!S7*Inputs!S100</f>
        <v>50.621491278078892</v>
      </c>
    </row>
    <row r="10" spans="2:19" x14ac:dyDescent="0.2">
      <c r="B10" t="s">
        <v>32</v>
      </c>
      <c r="E10" s="21">
        <f>-Hist!E76</f>
        <v>1000</v>
      </c>
      <c r="F10" s="21">
        <f>-Hist!F76</f>
        <v>0</v>
      </c>
      <c r="G10" s="21">
        <f>-Hist!G76</f>
        <v>175.01900000000001</v>
      </c>
      <c r="H10" s="21">
        <f>-Hist!H76</f>
        <v>552.45100000000002</v>
      </c>
      <c r="I10" s="21">
        <f>-Hist!I76</f>
        <v>582.32000000000005</v>
      </c>
      <c r="J10" s="21">
        <f ca="1">IF(AND(ExcessToBuybacks=1,Debt!J16+Debt!J24&lt;0.01),MAX(MAX(0,Inputs!J105*Debt!J9),Debt!J8+Debt!J9-Debt!J11-MinCash),MAX(0,Inputs!J105*Debt!J9))</f>
        <v>582.10884574613362</v>
      </c>
      <c r="K10" s="21">
        <f ca="1">IF(AND(ExcessToBuybacks=1,Debt!K16+Debt!K24&lt;0.01),MAX(MAX(0,Inputs!K105*Debt!K9),Debt!K8+Debt!K9-Debt!K11-MinCash),MAX(0,Inputs!K105*Debt!K9))</f>
        <v>631.37458767481098</v>
      </c>
      <c r="L10" s="21">
        <f ca="1">IF(AND(ExcessToBuybacks=1,Debt!L16+Debt!L24&lt;0.01),MAX(MAX(0,Inputs!L105*Debt!L9),Debt!L8+Debt!L9-Debt!L11-MinCash),MAX(0,Inputs!L105*Debt!L9))</f>
        <v>675.57884007847815</v>
      </c>
      <c r="M10" s="21">
        <f ca="1">IF(AND(ExcessToBuybacks=1,Debt!M16+Debt!M24&lt;0.01),MAX(MAX(0,Inputs!M105*Debt!M9),Debt!M8+Debt!M9-Debt!M11-MinCash),MAX(0,Inputs!M105*Debt!M9))</f>
        <v>712.77015600372977</v>
      </c>
      <c r="N10" s="21">
        <f ca="1">IF(AND(ExcessToBuybacks=1,Debt!N16+Debt!N24&lt;0.01),MAX(MAX(0,Inputs!N105*Debt!N9),Debt!N8+Debt!N9-Debt!N11-MinCash),MAX(0,Inputs!N105*Debt!N9))</f>
        <v>998.84175053308286</v>
      </c>
      <c r="O10" s="21">
        <f ca="1">IF(AND(ExcessToBuybacks=1,Debt!O16+Debt!O24&lt;0.01),MAX(MAX(0,Inputs!O105*Debt!O9),Debt!O8+Debt!O9-Debt!O11-MinCash),MAX(0,Inputs!O105*Debt!O9))</f>
        <v>963.49396926766622</v>
      </c>
      <c r="P10" s="21">
        <f ca="1">IF(AND(ExcessToBuybacks=1,Debt!P16+Debt!P24&lt;0.01),MAX(MAX(0,Inputs!P105*Debt!P9),Debt!P8+Debt!P9-Debt!P11-MinCash),MAX(0,Inputs!P105*Debt!P9))</f>
        <v>997.29811539864545</v>
      </c>
      <c r="Q10" s="21">
        <f ca="1">IF(AND(ExcessToBuybacks=1,Debt!Q16+Debt!Q24&lt;0.01),MAX(MAX(0,Inputs!Q105*Debt!Q9),Debt!Q8+Debt!Q9-Debt!Q11-MinCash),MAX(0,Inputs!Q105*Debt!Q9))</f>
        <v>1032.429639136089</v>
      </c>
      <c r="R10" s="21">
        <f ca="1">IF(AND(ExcessToBuybacks=1,Debt!R16+Debt!R24&lt;0.01),MAX(MAX(0,Inputs!R105*Debt!R9),Debt!R8+Debt!R9-Debt!R11-MinCash),MAX(0,Inputs!R105*Debt!R9))</f>
        <v>1066.2638269346398</v>
      </c>
      <c r="S10" s="21">
        <f ca="1">IF(AND(ExcessToBuybacks=1,Debt!S16+Debt!S24&lt;0.01),MAX(MAX(0,Inputs!S105*Debt!S9),Debt!S8+Debt!S9-Debt!S11-MinCash),MAX(0,Inputs!S105*Debt!S9))</f>
        <v>1098.5199772715605</v>
      </c>
    </row>
    <row r="11" spans="2:19" x14ac:dyDescent="0.2">
      <c r="B11" t="s">
        <v>461</v>
      </c>
      <c r="F11" s="21">
        <f>F12-F7-F8-F9+F10</f>
        <v>232.38699999999994</v>
      </c>
      <c r="G11" s="21">
        <f>G12-G7-G8-G9+G10</f>
        <v>-10.626999999999612</v>
      </c>
      <c r="H11" s="21">
        <f>H12-H7-H8-H9+H10</f>
        <v>-48.865000000000123</v>
      </c>
      <c r="I11" s="21">
        <f>I12-I7-I8-I9+I10</f>
        <v>84.368000000000052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</row>
    <row r="12" spans="2:19" x14ac:dyDescent="0.2">
      <c r="B12" s="1" t="s">
        <v>462</v>
      </c>
      <c r="E12" s="42">
        <f>Hist!E59</f>
        <v>14.082000000000001</v>
      </c>
      <c r="F12" s="42">
        <f>Hist!F59</f>
        <v>817.93100000000004</v>
      </c>
      <c r="G12" s="42">
        <f>Hist!G59</f>
        <v>1453.923</v>
      </c>
      <c r="H12" s="42">
        <f>Hist!H59</f>
        <v>1835.732</v>
      </c>
      <c r="I12" s="42">
        <f>Hist!I59</f>
        <v>1293.2829999999999</v>
      </c>
      <c r="J12" s="42">
        <f t="shared" ref="J12:S12" ca="1" si="1">J7+J8+J9-J10+J11</f>
        <v>1384.8940183412501</v>
      </c>
      <c r="K12" s="42">
        <f t="shared" ca="1" si="1"/>
        <v>1491.5807261200355</v>
      </c>
      <c r="L12" s="42">
        <f t="shared" ca="1" si="1"/>
        <v>1609.7367426214059</v>
      </c>
      <c r="M12" s="42">
        <f t="shared" ca="1" si="1"/>
        <v>1742.4182876829177</v>
      </c>
      <c r="N12" s="42">
        <f t="shared" ca="1" si="1"/>
        <v>1632.056370037122</v>
      </c>
      <c r="O12" s="42">
        <f t="shared" ca="1" si="1"/>
        <v>1589.2391732293559</v>
      </c>
      <c r="P12" s="42">
        <f t="shared" ca="1" si="1"/>
        <v>1544.8284974075316</v>
      </c>
      <c r="Q12" s="42">
        <f t="shared" ca="1" si="1"/>
        <v>1498.6390538753667</v>
      </c>
      <c r="R12" s="42">
        <f t="shared" ca="1" si="1"/>
        <v>1450.6137376337742</v>
      </c>
      <c r="S12" s="42">
        <f t="shared" ca="1" si="1"/>
        <v>1400.7112071353563</v>
      </c>
    </row>
    <row r="13" spans="2:19" x14ac:dyDescent="0.2">
      <c r="B13" s="3" t="s">
        <v>463</v>
      </c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</row>
    <row r="14" spans="2:19" x14ac:dyDescent="0.2">
      <c r="B14" t="s">
        <v>464</v>
      </c>
      <c r="J14" s="27">
        <f>SharePrice</f>
        <v>118.54</v>
      </c>
      <c r="K14" s="27">
        <f ca="1">IF(BuybackPxMode=1,J14*IS!J39/IS!I39,J14*(1+PriceGrowth))</f>
        <v>135.92298046093509</v>
      </c>
      <c r="L14" s="27">
        <f ca="1">IF(BuybackPxMode=1,K14*IS!K39/IS!J39,K14*(1+PriceGrowth))</f>
        <v>160.44218362152216</v>
      </c>
      <c r="M14" s="27">
        <f ca="1">IF(BuybackPxMode=1,L14*IS!L39/IS!K39,L14*(1+PriceGrowth))</f>
        <v>190.15730489054411</v>
      </c>
      <c r="N14" s="27">
        <f ca="1">IF(BuybackPxMode=1,M14*IS!M39/IS!L39,M14*(1+PriceGrowth))</f>
        <v>222.65637339150027</v>
      </c>
      <c r="O14" s="27">
        <f ca="1">IF(BuybackPxMode=1,N14*IS!N39/IS!M39,N14*(1+PriceGrowth))</f>
        <v>260.73239604430387</v>
      </c>
      <c r="P14" s="27">
        <f ca="1">IF(BuybackPxMode=1,O14*IS!O39/IS!N39,O14*(1+PriceGrowth))</f>
        <v>304.615549436354</v>
      </c>
      <c r="Q14" s="27">
        <f ca="1">IF(BuybackPxMode=1,P14*IS!P39/IS!O39,P14*(1+PriceGrowth))</f>
        <v>352.8689718673395</v>
      </c>
      <c r="R14" s="27">
        <f ca="1">IF(BuybackPxMode=1,Q14*IS!Q39/IS!P39,Q14*(1+PriceGrowth))</f>
        <v>407.80957584052868</v>
      </c>
      <c r="S14" s="27">
        <f ca="1">IF(BuybackPxMode=1,R14*IS!R39/IS!Q39,R14*(1+PriceGrowth))</f>
        <v>469.05197824296545</v>
      </c>
    </row>
    <row r="15" spans="2:19" x14ac:dyDescent="0.2">
      <c r="B15" t="s">
        <v>465</v>
      </c>
      <c r="J15" s="29">
        <f t="shared" ref="J15:S15" si="2">I18</f>
        <v>50.2</v>
      </c>
      <c r="K15" s="29">
        <f t="shared" ca="1" si="2"/>
        <v>45.689346669933073</v>
      </c>
      <c r="L15" s="29">
        <f t="shared" ca="1" si="2"/>
        <v>41.444255857962013</v>
      </c>
      <c r="M15" s="29">
        <f t="shared" ca="1" si="2"/>
        <v>37.633525083615616</v>
      </c>
      <c r="N15" s="29">
        <f t="shared" ca="1" si="2"/>
        <v>34.285206519603548</v>
      </c>
      <c r="O15" s="29">
        <f t="shared" ca="1" si="2"/>
        <v>30.199182898007926</v>
      </c>
      <c r="P15" s="29">
        <f t="shared" ca="1" si="2"/>
        <v>26.903846285123244</v>
      </c>
      <c r="Q15" s="29">
        <f t="shared" ca="1" si="2"/>
        <v>24.029889596950234</v>
      </c>
      <c r="R15" s="29">
        <f t="shared" ca="1" si="2"/>
        <v>21.504073723504074</v>
      </c>
      <c r="S15" s="29">
        <f t="shared" ca="1" si="2"/>
        <v>19.289461683713238</v>
      </c>
    </row>
    <row r="16" spans="2:19" x14ac:dyDescent="0.2">
      <c r="B16" t="s">
        <v>466</v>
      </c>
      <c r="J16" s="29">
        <f t="shared" ref="J16:S16" ca="1" si="3">J10/J14</f>
        <v>4.9106533300669275</v>
      </c>
      <c r="K16" s="29">
        <f t="shared" ca="1" si="3"/>
        <v>4.6450908119710563</v>
      </c>
      <c r="L16" s="29">
        <f t="shared" ca="1" si="3"/>
        <v>4.2107307743463931</v>
      </c>
      <c r="M16" s="29">
        <f t="shared" ca="1" si="3"/>
        <v>3.7483185640120706</v>
      </c>
      <c r="N16" s="29">
        <f t="shared" ca="1" si="3"/>
        <v>4.4860236215956117</v>
      </c>
      <c r="O16" s="29">
        <f t="shared" ca="1" si="3"/>
        <v>3.6953366128846854</v>
      </c>
      <c r="P16" s="29">
        <f t="shared" ca="1" si="3"/>
        <v>3.2739566881730036</v>
      </c>
      <c r="Q16" s="29">
        <f t="shared" ca="1" si="3"/>
        <v>2.9258158734461617</v>
      </c>
      <c r="R16" s="29">
        <f t="shared" ca="1" si="3"/>
        <v>2.6146120397908348</v>
      </c>
      <c r="S16" s="29">
        <f t="shared" ca="1" si="3"/>
        <v>2.3420005206811756</v>
      </c>
    </row>
    <row r="17" spans="2:19" x14ac:dyDescent="0.2">
      <c r="B17" t="s">
        <v>467</v>
      </c>
      <c r="J17" s="29">
        <f t="shared" ref="J17:S17" si="4">RSUIssuance</f>
        <v>0.4</v>
      </c>
      <c r="K17" s="29">
        <f t="shared" si="4"/>
        <v>0.4</v>
      </c>
      <c r="L17" s="29">
        <f t="shared" si="4"/>
        <v>0.4</v>
      </c>
      <c r="M17" s="29">
        <f t="shared" si="4"/>
        <v>0.4</v>
      </c>
      <c r="N17" s="29">
        <f t="shared" si="4"/>
        <v>0.4</v>
      </c>
      <c r="O17" s="29">
        <f t="shared" si="4"/>
        <v>0.4</v>
      </c>
      <c r="P17" s="29">
        <f t="shared" si="4"/>
        <v>0.4</v>
      </c>
      <c r="Q17" s="29">
        <f t="shared" si="4"/>
        <v>0.4</v>
      </c>
      <c r="R17" s="29">
        <f t="shared" si="4"/>
        <v>0.4</v>
      </c>
      <c r="S17" s="29">
        <f t="shared" si="4"/>
        <v>0.4</v>
      </c>
    </row>
    <row r="18" spans="2:19" x14ac:dyDescent="0.2">
      <c r="B18" s="1" t="s">
        <v>468</v>
      </c>
      <c r="E18" s="49">
        <f>Hist!E60</f>
        <v>58.3</v>
      </c>
      <c r="F18" s="49">
        <f>Hist!F60</f>
        <v>61.7</v>
      </c>
      <c r="G18" s="49">
        <f>Hist!G60</f>
        <v>60.5</v>
      </c>
      <c r="H18" s="49">
        <f>Hist!H60</f>
        <v>56.5</v>
      </c>
      <c r="I18" s="49">
        <f>Hist!I60</f>
        <v>50.2</v>
      </c>
      <c r="J18" s="49">
        <f t="shared" ref="J18:S18" ca="1" si="5">J15-J16+J17</f>
        <v>45.689346669933073</v>
      </c>
      <c r="K18" s="49">
        <f t="shared" ca="1" si="5"/>
        <v>41.444255857962013</v>
      </c>
      <c r="L18" s="49">
        <f t="shared" ca="1" si="5"/>
        <v>37.633525083615616</v>
      </c>
      <c r="M18" s="49">
        <f t="shared" ca="1" si="5"/>
        <v>34.285206519603541</v>
      </c>
      <c r="N18" s="49">
        <f t="shared" ca="1" si="5"/>
        <v>30.199182898007933</v>
      </c>
      <c r="O18" s="49">
        <f t="shared" ca="1" si="5"/>
        <v>26.90384628512324</v>
      </c>
      <c r="P18" s="49">
        <f t="shared" ca="1" si="5"/>
        <v>24.029889596950238</v>
      </c>
      <c r="Q18" s="49">
        <f t="shared" ca="1" si="5"/>
        <v>21.504073723504071</v>
      </c>
      <c r="R18" s="49">
        <f t="shared" ca="1" si="5"/>
        <v>19.289461683713238</v>
      </c>
      <c r="S18" s="49">
        <f t="shared" ca="1" si="5"/>
        <v>17.347461163032062</v>
      </c>
    </row>
    <row r="19" spans="2:19" x14ac:dyDescent="0.2">
      <c r="B19" t="s">
        <v>469</v>
      </c>
      <c r="J19" s="29">
        <f t="shared" ref="J19:S19" ca="1" si="6">AVERAGE(J15,J18)</f>
        <v>47.944673334966538</v>
      </c>
      <c r="K19" s="29">
        <f t="shared" ca="1" si="6"/>
        <v>43.566801263947539</v>
      </c>
      <c r="L19" s="29">
        <f t="shared" ca="1" si="6"/>
        <v>39.538890470788814</v>
      </c>
      <c r="M19" s="29">
        <f t="shared" ca="1" si="6"/>
        <v>35.959365801609579</v>
      </c>
      <c r="N19" s="29">
        <f t="shared" ca="1" si="6"/>
        <v>32.242194708805741</v>
      </c>
      <c r="O19" s="29">
        <f t="shared" ca="1" si="6"/>
        <v>28.551514591565585</v>
      </c>
      <c r="P19" s="29">
        <f t="shared" ca="1" si="6"/>
        <v>25.466867941036739</v>
      </c>
      <c r="Q19" s="29">
        <f t="shared" ca="1" si="6"/>
        <v>22.766981660227152</v>
      </c>
      <c r="R19" s="29">
        <f t="shared" ca="1" si="6"/>
        <v>20.396767703608656</v>
      </c>
      <c r="S19" s="29">
        <f t="shared" ca="1" si="6"/>
        <v>18.31846142337265</v>
      </c>
    </row>
    <row r="20" spans="2:19" x14ac:dyDescent="0.2">
      <c r="B20" s="1" t="s">
        <v>470</v>
      </c>
      <c r="E20" s="49">
        <f>Hist!E19</f>
        <v>63.718000000000004</v>
      </c>
      <c r="F20" s="49">
        <f>Hist!F19</f>
        <v>62.006</v>
      </c>
      <c r="G20" s="49">
        <f>Hist!G19</f>
        <v>61.951999999999998</v>
      </c>
      <c r="H20" s="49">
        <f>Hist!H19</f>
        <v>59.832000000000001</v>
      </c>
      <c r="I20" s="49">
        <f>Hist!I19</f>
        <v>54.207999999999998</v>
      </c>
      <c r="J20" s="49">
        <f t="shared" ref="J20:S20" ca="1" si="7">J19+Dilution</f>
        <v>48.344673334966537</v>
      </c>
      <c r="K20" s="49">
        <f t="shared" ca="1" si="7"/>
        <v>43.966801263947538</v>
      </c>
      <c r="L20" s="49">
        <f t="shared" ca="1" si="7"/>
        <v>39.938890470788813</v>
      </c>
      <c r="M20" s="49">
        <f t="shared" ca="1" si="7"/>
        <v>36.359365801609577</v>
      </c>
      <c r="N20" s="49">
        <f t="shared" ca="1" si="7"/>
        <v>32.642194708805739</v>
      </c>
      <c r="O20" s="49">
        <f t="shared" ca="1" si="7"/>
        <v>28.951514591565584</v>
      </c>
      <c r="P20" s="49">
        <f t="shared" ca="1" si="7"/>
        <v>25.866867941036737</v>
      </c>
      <c r="Q20" s="49">
        <f t="shared" ca="1" si="7"/>
        <v>23.166981660227151</v>
      </c>
      <c r="R20" s="49">
        <f t="shared" ca="1" si="7"/>
        <v>20.796767703608655</v>
      </c>
      <c r="S20" s="49">
        <f t="shared" ca="1" si="7"/>
        <v>18.718461423372649</v>
      </c>
    </row>
    <row r="21" spans="2:19" x14ac:dyDescent="0.2">
      <c r="B21" s="17" t="s">
        <v>471</v>
      </c>
      <c r="F21" s="18">
        <f>IFERROR(F20/E20-1,"n.m.")</f>
        <v>-2.686838883831888E-2</v>
      </c>
      <c r="G21" s="18">
        <f>IFERROR(G20/F20-1,"n.m.")</f>
        <v>-8.7088346289077023E-4</v>
      </c>
      <c r="H21" s="18">
        <f>IFERROR(H20/G20-1,"n.m.")</f>
        <v>-3.4220041322314043E-2</v>
      </c>
      <c r="I21" s="18">
        <f>IFERROR(I20/H20-1,"n.m.")</f>
        <v>-9.3996523599411685E-2</v>
      </c>
      <c r="J21" s="18">
        <f t="shared" ref="J21:S21" ca="1" si="8">J20/I20-1</f>
        <v>-0.10816349367313793</v>
      </c>
      <c r="K21" s="18">
        <f t="shared" ca="1" si="8"/>
        <v>-9.055541736079098E-2</v>
      </c>
      <c r="L21" s="18">
        <f t="shared" ca="1" si="8"/>
        <v>-9.1612550318996733E-2</v>
      </c>
      <c r="M21" s="18">
        <f t="shared" ca="1" si="8"/>
        <v>-8.9625040329983419E-2</v>
      </c>
      <c r="N21" s="18">
        <f t="shared" ca="1" si="8"/>
        <v>-0.10223421148449419</v>
      </c>
      <c r="O21" s="18">
        <f t="shared" ca="1" si="8"/>
        <v>-0.11306470505932431</v>
      </c>
      <c r="P21" s="18">
        <f t="shared" ca="1" si="8"/>
        <v>-0.10654526003373566</v>
      </c>
      <c r="Q21" s="18">
        <f t="shared" ca="1" si="8"/>
        <v>-0.10437623476348001</v>
      </c>
      <c r="R21" s="18">
        <f t="shared" ca="1" si="8"/>
        <v>-0.1023100027176892</v>
      </c>
      <c r="S21" s="18">
        <f t="shared" ca="1" si="8"/>
        <v>-9.9934100811030269E-2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H40"/>
  <sheetViews>
    <sheetView showGridLines="0" zoomScale="90" zoomScaleNormal="90" workbookViewId="0"/>
  </sheetViews>
  <sheetFormatPr defaultRowHeight="12.75" x14ac:dyDescent="0.2"/>
  <cols>
    <col min="1" max="1" width="2.7109375" customWidth="1"/>
    <col min="2" max="2" width="52.7109375" customWidth="1"/>
    <col min="3" max="3" width="14.7109375" customWidth="1"/>
    <col min="4" max="4" width="50.7109375" customWidth="1"/>
    <col min="5" max="8" width="12.7109375" customWidth="1"/>
    <col min="9" max="19" width="11.28515625" customWidth="1"/>
  </cols>
  <sheetData>
    <row r="1" spans="2:4" x14ac:dyDescent="0.2">
      <c r="B1" s="1" t="s">
        <v>472</v>
      </c>
    </row>
    <row r="2" spans="2:4" x14ac:dyDescent="0.2">
      <c r="B2" s="2" t="s">
        <v>1</v>
      </c>
    </row>
    <row r="4" spans="2:4" x14ac:dyDescent="0.2">
      <c r="B4" s="3" t="s">
        <v>473</v>
      </c>
      <c r="C4" s="15"/>
      <c r="D4" s="15"/>
    </row>
    <row r="5" spans="2:4" x14ac:dyDescent="0.2">
      <c r="B5" t="s">
        <v>474</v>
      </c>
      <c r="C5" s="32">
        <v>5.2830000000000002E-2</v>
      </c>
      <c r="D5" s="2" t="s">
        <v>475</v>
      </c>
    </row>
    <row r="6" spans="2:4" x14ac:dyDescent="0.2">
      <c r="B6" t="s">
        <v>476</v>
      </c>
      <c r="C6" s="32">
        <v>4.2299999999999997E-2</v>
      </c>
      <c r="D6" s="2" t="s">
        <v>477</v>
      </c>
    </row>
    <row r="7" spans="2:4" x14ac:dyDescent="0.2">
      <c r="B7" t="s">
        <v>478</v>
      </c>
      <c r="C7" s="34">
        <v>1.3131999999999999</v>
      </c>
      <c r="D7" s="2" t="s">
        <v>479</v>
      </c>
    </row>
    <row r="8" spans="2:4" x14ac:dyDescent="0.2">
      <c r="B8" t="s">
        <v>480</v>
      </c>
      <c r="C8" s="29">
        <f>0.67*Beta_Raw+0.33</f>
        <v>1.2098439999999999</v>
      </c>
      <c r="D8" s="2" t="s">
        <v>481</v>
      </c>
    </row>
    <row r="9" spans="2:4" x14ac:dyDescent="0.2">
      <c r="B9" t="s">
        <v>482</v>
      </c>
      <c r="C9" s="34">
        <v>1.0881000000000001</v>
      </c>
      <c r="D9" s="2" t="s">
        <v>483</v>
      </c>
    </row>
    <row r="10" spans="2:4" x14ac:dyDescent="0.2">
      <c r="B10" t="s">
        <v>484</v>
      </c>
      <c r="C10" s="34">
        <v>1.0434000000000001</v>
      </c>
      <c r="D10" s="2" t="s">
        <v>485</v>
      </c>
    </row>
    <row r="11" spans="2:4" x14ac:dyDescent="0.2">
      <c r="B11" t="s">
        <v>486</v>
      </c>
      <c r="C11" s="35">
        <v>1334</v>
      </c>
      <c r="D11" s="2" t="s">
        <v>487</v>
      </c>
    </row>
    <row r="12" spans="2:4" x14ac:dyDescent="0.2">
      <c r="B12" t="s">
        <v>488</v>
      </c>
      <c r="C12" s="21">
        <f>SharePrice*SharesOut</f>
        <v>5683.4003000000002</v>
      </c>
    </row>
    <row r="13" spans="2:4" x14ac:dyDescent="0.2">
      <c r="B13" t="s">
        <v>489</v>
      </c>
      <c r="C13" s="24">
        <f>DebtFace/MktCap</f>
        <v>0.23471864193694045</v>
      </c>
    </row>
    <row r="14" spans="2:4" x14ac:dyDescent="0.2">
      <c r="B14" t="s">
        <v>490</v>
      </c>
      <c r="C14" s="32">
        <v>0.25</v>
      </c>
      <c r="D14" s="2" t="s">
        <v>491</v>
      </c>
    </row>
    <row r="15" spans="2:4" x14ac:dyDescent="0.2">
      <c r="B15" t="s">
        <v>492</v>
      </c>
      <c r="C15" s="29">
        <f>Beta_BU_Unlev*(1+(1-TaxMarginal)*DE_Market)</f>
        <v>1.2270790732477528</v>
      </c>
    </row>
    <row r="16" spans="2:4" x14ac:dyDescent="0.2">
      <c r="B16" t="s">
        <v>493</v>
      </c>
      <c r="C16" s="29">
        <f>AVERAGE(Beta_Blume,Beta_BU_Relev)</f>
        <v>1.2184615366238765</v>
      </c>
    </row>
    <row r="17" spans="2:8" x14ac:dyDescent="0.2">
      <c r="B17" t="s">
        <v>494</v>
      </c>
      <c r="C17" s="24">
        <f>Rf+Beta*ERP</f>
        <v>0.10437092299918997</v>
      </c>
    </row>
    <row r="18" spans="2:8" x14ac:dyDescent="0.2">
      <c r="B18" s="3" t="s">
        <v>495</v>
      </c>
      <c r="C18" s="15"/>
      <c r="D18" s="15"/>
    </row>
    <row r="19" spans="2:8" x14ac:dyDescent="0.2">
      <c r="B19" t="s">
        <v>496</v>
      </c>
      <c r="C19" s="32">
        <v>2.2499999999999999E-2</v>
      </c>
      <c r="D19" s="2" t="s">
        <v>497</v>
      </c>
    </row>
    <row r="20" spans="2:8" x14ac:dyDescent="0.2">
      <c r="B20" t="s">
        <v>498</v>
      </c>
      <c r="C20" s="24">
        <f>Rf+BBSpread</f>
        <v>7.5330000000000008E-2</v>
      </c>
    </row>
    <row r="21" spans="2:8" x14ac:dyDescent="0.2">
      <c r="B21" t="s">
        <v>499</v>
      </c>
      <c r="C21" s="24">
        <f>Kd*(1-TaxMarginal)</f>
        <v>5.6497500000000006E-2</v>
      </c>
    </row>
    <row r="22" spans="2:8" x14ac:dyDescent="0.2">
      <c r="B22" t="s">
        <v>500</v>
      </c>
      <c r="C22" s="31">
        <f ca="1">IS!$J$15/IS!$J$18</f>
        <v>12.760549285863497</v>
      </c>
    </row>
    <row r="23" spans="2:8" x14ac:dyDescent="0.2">
      <c r="B23" t="s">
        <v>501</v>
      </c>
      <c r="C23" s="26" t="str">
        <f ca="1">IF(Coverage26&gt;8.5,"AAA",IF(Coverage26&gt;6.5,"AA",IF(Coverage26&gt;5.5,"A+",IF(Coverage26&gt;4.25,"A",IF(Coverage26&gt;3,"A-",IF(Coverage26&gt;2.5,"BBB",IF(Coverage26&gt;2.25,"BB+",IF(Coverage26&gt;2,"BB","B"))))))))</f>
        <v>AAA</v>
      </c>
      <c r="D23" s="2" t="s">
        <v>502</v>
      </c>
    </row>
    <row r="24" spans="2:8" x14ac:dyDescent="0.2">
      <c r="B24" s="3" t="s">
        <v>503</v>
      </c>
      <c r="C24" s="15"/>
      <c r="D24" s="15"/>
    </row>
    <row r="25" spans="2:8" x14ac:dyDescent="0.2">
      <c r="B25" t="s">
        <v>504</v>
      </c>
      <c r="C25" s="24">
        <f>DebtFace/(DebtFace+MktCap)</f>
        <v>0.19009888890049495</v>
      </c>
    </row>
    <row r="26" spans="2:8" x14ac:dyDescent="0.2">
      <c r="B26" t="s">
        <v>505</v>
      </c>
      <c r="C26" s="24">
        <f>(1-Wd)*Ke+Wd*Kd_AT</f>
        <v>9.5270238479180563E-2</v>
      </c>
      <c r="D26" s="2" t="s">
        <v>506</v>
      </c>
    </row>
    <row r="29" spans="2:8" x14ac:dyDescent="0.2">
      <c r="B29" s="3" t="s">
        <v>802</v>
      </c>
    </row>
    <row r="30" spans="2:8" x14ac:dyDescent="0.2">
      <c r="B30" s="3" t="s">
        <v>803</v>
      </c>
      <c r="C30" s="3" t="s">
        <v>804</v>
      </c>
      <c r="D30" s="3" t="s">
        <v>805</v>
      </c>
      <c r="E30" s="3" t="s">
        <v>806</v>
      </c>
      <c r="F30" s="3" t="s">
        <v>807</v>
      </c>
      <c r="G30" s="3" t="s">
        <v>808</v>
      </c>
      <c r="H30" s="3" t="s">
        <v>809</v>
      </c>
    </row>
    <row r="31" spans="2:8" x14ac:dyDescent="0.2">
      <c r="B31" t="s">
        <v>810</v>
      </c>
      <c r="C31" t="s">
        <v>811</v>
      </c>
      <c r="D31" t="s">
        <v>812</v>
      </c>
      <c r="E31" s="34">
        <v>1.0299</v>
      </c>
      <c r="F31" s="32">
        <v>0.17500299999999999</v>
      </c>
      <c r="G31" s="32">
        <v>0</v>
      </c>
      <c r="H31" s="34">
        <v>1.0299</v>
      </c>
    </row>
    <row r="32" spans="2:8" x14ac:dyDescent="0.2">
      <c r="B32" t="s">
        <v>813</v>
      </c>
      <c r="C32" t="s">
        <v>811</v>
      </c>
      <c r="D32" t="s">
        <v>812</v>
      </c>
      <c r="E32" s="34">
        <v>1.1759999999999999</v>
      </c>
      <c r="F32" s="32">
        <v>0.26703100000000002</v>
      </c>
      <c r="G32" s="32">
        <v>7.1676000000000004E-2</v>
      </c>
      <c r="H32" s="34">
        <v>1.1160000000000001</v>
      </c>
    </row>
    <row r="33" spans="2:8" x14ac:dyDescent="0.2">
      <c r="B33" t="s">
        <v>814</v>
      </c>
      <c r="C33" t="s">
        <v>811</v>
      </c>
      <c r="D33" t="s">
        <v>812</v>
      </c>
      <c r="E33" s="34">
        <v>1.3541000000000001</v>
      </c>
      <c r="F33" s="32">
        <v>0.15571599999999999</v>
      </c>
      <c r="G33" s="32">
        <v>0.39871499999999999</v>
      </c>
      <c r="H33" s="34">
        <v>1.0424</v>
      </c>
    </row>
    <row r="34" spans="2:8" x14ac:dyDescent="0.2">
      <c r="B34" t="s">
        <v>815</v>
      </c>
      <c r="C34" t="s">
        <v>816</v>
      </c>
      <c r="D34" t="s">
        <v>812</v>
      </c>
      <c r="E34" s="34">
        <v>1.1946000000000001</v>
      </c>
      <c r="F34" s="32">
        <v>0.14189099999999999</v>
      </c>
      <c r="G34" s="32">
        <v>0.237294</v>
      </c>
      <c r="H34" s="34">
        <v>1.0141</v>
      </c>
    </row>
    <row r="35" spans="2:8" x14ac:dyDescent="0.2">
      <c r="B35" t="s">
        <v>817</v>
      </c>
      <c r="C35" t="s">
        <v>816</v>
      </c>
      <c r="D35" t="s">
        <v>812</v>
      </c>
      <c r="E35" s="34">
        <v>1.7864</v>
      </c>
      <c r="F35" s="32">
        <v>0.27918300000000001</v>
      </c>
      <c r="G35" s="32">
        <v>0</v>
      </c>
      <c r="H35" s="34">
        <v>1.7864</v>
      </c>
    </row>
    <row r="36" spans="2:8" x14ac:dyDescent="0.2">
      <c r="B36" t="s">
        <v>818</v>
      </c>
      <c r="C36" t="s">
        <v>819</v>
      </c>
      <c r="D36" t="s">
        <v>820</v>
      </c>
      <c r="E36" s="34">
        <v>1.3360000000000001</v>
      </c>
      <c r="F36" s="32">
        <v>9.6978999999999996E-2</v>
      </c>
      <c r="G36" s="32">
        <v>0.37215900000000002</v>
      </c>
      <c r="H36" s="34">
        <v>1.0445</v>
      </c>
    </row>
    <row r="37" spans="2:8" x14ac:dyDescent="0.2">
      <c r="B37" t="s">
        <v>821</v>
      </c>
      <c r="C37" t="s">
        <v>822</v>
      </c>
      <c r="D37" t="s">
        <v>823</v>
      </c>
      <c r="E37" s="34">
        <v>0.72034299999999996</v>
      </c>
      <c r="F37" s="32">
        <v>8.5542000000000007E-2</v>
      </c>
      <c r="G37" s="32">
        <v>0</v>
      </c>
      <c r="H37" s="34">
        <v>0.72034299999999996</v>
      </c>
    </row>
    <row r="38" spans="2:8" x14ac:dyDescent="0.2">
      <c r="B38" t="s">
        <v>824</v>
      </c>
      <c r="C38" t="s">
        <v>822</v>
      </c>
      <c r="D38" t="s">
        <v>823</v>
      </c>
      <c r="E38" s="34">
        <v>0.86973599999999995</v>
      </c>
      <c r="F38" s="32">
        <v>0.14169899999999999</v>
      </c>
      <c r="G38" s="32">
        <v>0</v>
      </c>
      <c r="H38" s="34">
        <v>0.86973599999999995</v>
      </c>
    </row>
    <row r="39" spans="2:8" x14ac:dyDescent="0.2">
      <c r="B39" t="s">
        <v>825</v>
      </c>
      <c r="C39" t="s">
        <v>822</v>
      </c>
      <c r="D39" t="s">
        <v>823</v>
      </c>
      <c r="E39" s="34">
        <v>0.92167500000000002</v>
      </c>
      <c r="F39" s="32">
        <v>0.110153</v>
      </c>
      <c r="G39" s="32">
        <v>5.6829999999999997E-3</v>
      </c>
      <c r="H39" s="34">
        <v>0.91777299999999995</v>
      </c>
    </row>
    <row r="40" spans="2:8" x14ac:dyDescent="0.2">
      <c r="B40" t="s">
        <v>826</v>
      </c>
      <c r="C40" t="s">
        <v>822</v>
      </c>
      <c r="D40" t="s">
        <v>823</v>
      </c>
      <c r="E40" s="34">
        <v>1.1094999999999999</v>
      </c>
      <c r="F40" s="32">
        <v>0.31393500000000002</v>
      </c>
      <c r="G40" s="32">
        <v>0</v>
      </c>
      <c r="H40" s="34">
        <v>1.1094999999999999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S40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507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508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t="s">
        <v>21</v>
      </c>
      <c r="J7" s="16">
        <f>IS!J7</f>
        <v>4104.0259900000001</v>
      </c>
      <c r="K7" s="16">
        <f>IS!K7</f>
        <v>4247.9569262000005</v>
      </c>
      <c r="L7" s="16">
        <f>IS!L7</f>
        <v>4423.3961124059997</v>
      </c>
      <c r="M7" s="16">
        <f>IS!M7</f>
        <v>4606.19088623072</v>
      </c>
      <c r="N7" s="16">
        <f>IS!N7</f>
        <v>4785.3260332169966</v>
      </c>
      <c r="O7" s="16">
        <f>IS!O7</f>
        <v>4962.4389111312412</v>
      </c>
      <c r="P7" s="16">
        <f>IS!P7</f>
        <v>5136.2185387352838</v>
      </c>
      <c r="Q7" s="16">
        <f>IS!Q7</f>
        <v>5305.3519661997761</v>
      </c>
      <c r="R7" s="16">
        <f>IS!R7</f>
        <v>5468.5556722364408</v>
      </c>
      <c r="S7" s="16">
        <f>IS!S7</f>
        <v>5624.6101420087662</v>
      </c>
    </row>
    <row r="8" spans="2:19" x14ac:dyDescent="0.2">
      <c r="B8" t="s">
        <v>509</v>
      </c>
      <c r="J8" s="16">
        <f>IS!J15</f>
        <v>892.74798115999988</v>
      </c>
      <c r="K8" s="16">
        <f>IS!K15</f>
        <v>953.56886795219975</v>
      </c>
      <c r="L8" s="16">
        <f>IS!L15</f>
        <v>1013.0426328395308</v>
      </c>
      <c r="M8" s="16">
        <f>IS!M15</f>
        <v>1066.2923611425999</v>
      </c>
      <c r="N8" s="16">
        <f>IS!N15</f>
        <v>1114.8917268359448</v>
      </c>
      <c r="O8" s="16">
        <f>IS!O15</f>
        <v>1158.0021759739991</v>
      </c>
      <c r="P8" s="16">
        <f>IS!P15</f>
        <v>1200.1365034976959</v>
      </c>
      <c r="Q8" s="16">
        <f>IS!Q15</f>
        <v>1240.9449075745219</v>
      </c>
      <c r="R8" s="16">
        <f>IS!R15</f>
        <v>1280.0852687729746</v>
      </c>
      <c r="S8" s="16">
        <f>IS!S15</f>
        <v>1317.2319942313657</v>
      </c>
    </row>
    <row r="9" spans="2:19" x14ac:dyDescent="0.2">
      <c r="B9" s="17" t="s">
        <v>311</v>
      </c>
      <c r="J9" s="18">
        <f t="shared" ref="J9:S9" si="0">J8/J7</f>
        <v>0.21752980691040893</v>
      </c>
      <c r="K9" s="18">
        <f t="shared" si="0"/>
        <v>0.22447705674012389</v>
      </c>
      <c r="L9" s="18">
        <f t="shared" si="0"/>
        <v>0.22901919861943151</v>
      </c>
      <c r="M9" s="18">
        <f t="shared" si="0"/>
        <v>0.23149113605562163</v>
      </c>
      <c r="N9" s="18">
        <f t="shared" si="0"/>
        <v>0.23298135155201632</v>
      </c>
      <c r="O9" s="18">
        <f t="shared" si="0"/>
        <v>0.23335343703203795</v>
      </c>
      <c r="P9" s="18">
        <f t="shared" si="0"/>
        <v>0.2336614952122367</v>
      </c>
      <c r="Q9" s="18">
        <f t="shared" si="0"/>
        <v>0.23390435082922706</v>
      </c>
      <c r="R9" s="18">
        <f t="shared" si="0"/>
        <v>0.23408105274888172</v>
      </c>
      <c r="S9" s="18">
        <f t="shared" si="0"/>
        <v>0.23419080806922044</v>
      </c>
    </row>
    <row r="10" spans="2:19" x14ac:dyDescent="0.2">
      <c r="B10" s="17" t="s">
        <v>510</v>
      </c>
      <c r="J10" s="18">
        <f>Inputs!J103</f>
        <v>0.18</v>
      </c>
      <c r="K10" s="18">
        <f>Inputs!K103</f>
        <v>0.18</v>
      </c>
      <c r="L10" s="18">
        <f>Inputs!L103</f>
        <v>0.18</v>
      </c>
      <c r="M10" s="18">
        <f>Inputs!M103</f>
        <v>0.18</v>
      </c>
      <c r="N10" s="18">
        <f>Inputs!N103</f>
        <v>0.18</v>
      </c>
      <c r="O10" s="18">
        <f>Inputs!O103</f>
        <v>0.18</v>
      </c>
      <c r="P10" s="18">
        <f>Inputs!P103</f>
        <v>0.18</v>
      </c>
      <c r="Q10" s="18">
        <f>Inputs!Q103</f>
        <v>0.18</v>
      </c>
      <c r="R10" s="18">
        <f>Inputs!R103</f>
        <v>0.18</v>
      </c>
      <c r="S10" s="18">
        <f>Inputs!S103</f>
        <v>0.18</v>
      </c>
    </row>
    <row r="11" spans="2:19" x14ac:dyDescent="0.2">
      <c r="B11" t="s">
        <v>511</v>
      </c>
      <c r="J11" s="21">
        <f t="shared" ref="J11:S11" si="1">-J8*J10</f>
        <v>-160.69463660879998</v>
      </c>
      <c r="K11" s="21">
        <f t="shared" si="1"/>
        <v>-171.64239623139594</v>
      </c>
      <c r="L11" s="21">
        <f t="shared" si="1"/>
        <v>-182.34767391111555</v>
      </c>
      <c r="M11" s="21">
        <f t="shared" si="1"/>
        <v>-191.93262500566797</v>
      </c>
      <c r="N11" s="21">
        <f t="shared" si="1"/>
        <v>-200.68051083047007</v>
      </c>
      <c r="O11" s="21">
        <f t="shared" si="1"/>
        <v>-208.44039167531983</v>
      </c>
      <c r="P11" s="21">
        <f t="shared" si="1"/>
        <v>-216.02457062958527</v>
      </c>
      <c r="Q11" s="21">
        <f t="shared" si="1"/>
        <v>-223.37008336341395</v>
      </c>
      <c r="R11" s="21">
        <f t="shared" si="1"/>
        <v>-230.41534837913542</v>
      </c>
      <c r="S11" s="21">
        <f t="shared" si="1"/>
        <v>-237.1017589616458</v>
      </c>
    </row>
    <row r="12" spans="2:19" x14ac:dyDescent="0.2">
      <c r="B12" s="1" t="s">
        <v>512</v>
      </c>
      <c r="J12" s="41">
        <f t="shared" ref="J12:S12" si="2">J8+J11</f>
        <v>732.05334455119987</v>
      </c>
      <c r="K12" s="41">
        <f t="shared" si="2"/>
        <v>781.92647172080387</v>
      </c>
      <c r="L12" s="41">
        <f t="shared" si="2"/>
        <v>830.6949589284153</v>
      </c>
      <c r="M12" s="41">
        <f t="shared" si="2"/>
        <v>874.35973613693193</v>
      </c>
      <c r="N12" s="41">
        <f t="shared" si="2"/>
        <v>914.21121600547474</v>
      </c>
      <c r="O12" s="41">
        <f t="shared" si="2"/>
        <v>949.5617842986793</v>
      </c>
      <c r="P12" s="41">
        <f t="shared" si="2"/>
        <v>984.11193286811067</v>
      </c>
      <c r="Q12" s="41">
        <f t="shared" si="2"/>
        <v>1017.574824211108</v>
      </c>
      <c r="R12" s="41">
        <f t="shared" si="2"/>
        <v>1049.6699203938392</v>
      </c>
      <c r="S12" s="41">
        <f t="shared" si="2"/>
        <v>1080.1302352697198</v>
      </c>
    </row>
    <row r="13" spans="2:19" x14ac:dyDescent="0.2">
      <c r="B13" t="s">
        <v>513</v>
      </c>
      <c r="J13" s="16">
        <f>IS!J32</f>
        <v>77.283929999999998</v>
      </c>
      <c r="K13" s="16">
        <f>IS!K32</f>
        <v>77.686441743199993</v>
      </c>
      <c r="L13" s="16">
        <f>IS!L32</f>
        <v>78.243041630680011</v>
      </c>
      <c r="M13" s="16">
        <f>IS!M32</f>
        <v>78.980239749277672</v>
      </c>
      <c r="N13" s="16">
        <f>IS!N32</f>
        <v>79.806567068272869</v>
      </c>
      <c r="O13" s="16">
        <f>IS!O32</f>
        <v>82.28805644480866</v>
      </c>
      <c r="P13" s="16">
        <f>IS!P32</f>
        <v>85.004578655465636</v>
      </c>
      <c r="Q13" s="16">
        <f>IS!Q32</f>
        <v>87.735809787254382</v>
      </c>
      <c r="R13" s="16">
        <f>IS!R32</f>
        <v>90.461268771801045</v>
      </c>
      <c r="S13" s="16">
        <f>IS!S32</f>
        <v>93.160461828116908</v>
      </c>
    </row>
    <row r="14" spans="2:19" x14ac:dyDescent="0.2">
      <c r="B14" t="s">
        <v>514</v>
      </c>
      <c r="J14" s="21">
        <f>-Fixed_Assets!J8</f>
        <v>-65.664415840000004</v>
      </c>
      <c r="K14" s="21">
        <f>-Fixed_Assets!K8</f>
        <v>-67.967310819200009</v>
      </c>
      <c r="L14" s="21">
        <f>-Fixed_Assets!L8</f>
        <v>-70.774337798495992</v>
      </c>
      <c r="M14" s="21">
        <f>-Fixed_Assets!M8</f>
        <v>-73.699054179691515</v>
      </c>
      <c r="N14" s="21">
        <f>-Fixed_Assets!N8</f>
        <v>-76.565216531471947</v>
      </c>
      <c r="O14" s="21">
        <f>-Fixed_Assets!O8</f>
        <v>-79.39902257809986</v>
      </c>
      <c r="P14" s="21">
        <f>-Fixed_Assets!P8</f>
        <v>-82.179496619764549</v>
      </c>
      <c r="Q14" s="21">
        <f>-Fixed_Assets!Q8</f>
        <v>-84.885631459196418</v>
      </c>
      <c r="R14" s="21">
        <f>-Fixed_Assets!R8</f>
        <v>-87.496890755783056</v>
      </c>
      <c r="S14" s="21">
        <f>-Fixed_Assets!S8</f>
        <v>-89.993762272140259</v>
      </c>
    </row>
    <row r="15" spans="2:19" x14ac:dyDescent="0.2">
      <c r="B15" t="s">
        <v>515</v>
      </c>
      <c r="J15" s="16">
        <f>NWC!J23</f>
        <v>-8.8531225686302264</v>
      </c>
      <c r="K15" s="16">
        <f>NWC!K23</f>
        <v>-5.032412836216281</v>
      </c>
      <c r="L15" s="16">
        <f>NWC!L23</f>
        <v>-6.3205278648981107</v>
      </c>
      <c r="M15" s="16">
        <f>NWC!M23</f>
        <v>-7.124311748461821</v>
      </c>
      <c r="N15" s="16">
        <f>NWC!N23</f>
        <v>-7.014341349584754</v>
      </c>
      <c r="O15" s="16">
        <f>NWC!O23</f>
        <v>-6.941798062779867</v>
      </c>
      <c r="P15" s="16">
        <f>NWC!P23</f>
        <v>-6.8193644200474637</v>
      </c>
      <c r="Q15" s="16">
        <f>NWC!Q23</f>
        <v>-6.6469765169983361</v>
      </c>
      <c r="R15" s="16">
        <f>NWC!R23</f>
        <v>-6.4257619078830999</v>
      </c>
      <c r="S15" s="16">
        <f>NWC!S23</f>
        <v>-6.1581820917320442</v>
      </c>
    </row>
    <row r="16" spans="2:19" x14ac:dyDescent="0.2">
      <c r="B16" t="s">
        <v>516</v>
      </c>
      <c r="J16" s="16">
        <f>Fixed_Assets!J25</f>
        <v>0.80021512875822509</v>
      </c>
      <c r="K16" s="16">
        <f>Fixed_Assets!K25</f>
        <v>1.5815193537851542</v>
      </c>
      <c r="L16" s="16">
        <f>Fixed_Assets!L25</f>
        <v>1.9277333679785329</v>
      </c>
      <c r="M16" s="16">
        <f>Fixed_Assets!M25</f>
        <v>2.0085568829543945</v>
      </c>
      <c r="N16" s="16">
        <f>Fixed_Assets!N25</f>
        <v>1.9683447449288565</v>
      </c>
      <c r="O16" s="16">
        <f>Fixed_Assets!O25</f>
        <v>1.9461239648767901</v>
      </c>
      <c r="P16" s="16">
        <f>Fixed_Assets!P25</f>
        <v>1.9094980662634953</v>
      </c>
      <c r="Q16" s="16">
        <f>Fixed_Assets!Q25</f>
        <v>1.8584454181234946</v>
      </c>
      <c r="R16" s="16">
        <f>Fixed_Assets!R25</f>
        <v>1.7932893825396832</v>
      </c>
      <c r="S16" s="16">
        <f>Fixed_Assets!S25</f>
        <v>1.7147332651729812</v>
      </c>
    </row>
    <row r="17" spans="2:19" x14ac:dyDescent="0.2">
      <c r="B17" s="1" t="s">
        <v>517</v>
      </c>
      <c r="J17" s="42">
        <f t="shared" ref="J17:S17" si="3">J12+J13+J14+J15+J16</f>
        <v>735.61995127132809</v>
      </c>
      <c r="K17" s="42">
        <f t="shared" si="3"/>
        <v>788.19470916237265</v>
      </c>
      <c r="L17" s="42">
        <f t="shared" si="3"/>
        <v>833.77086826367986</v>
      </c>
      <c r="M17" s="42">
        <f t="shared" si="3"/>
        <v>874.52516684101067</v>
      </c>
      <c r="N17" s="42">
        <f t="shared" si="3"/>
        <v>912.40656993761968</v>
      </c>
      <c r="O17" s="42">
        <f t="shared" si="3"/>
        <v>947.45514406748498</v>
      </c>
      <c r="P17" s="42">
        <f t="shared" si="3"/>
        <v>982.02714855002773</v>
      </c>
      <c r="Q17" s="42">
        <f t="shared" si="3"/>
        <v>1015.636471440291</v>
      </c>
      <c r="R17" s="42">
        <f t="shared" si="3"/>
        <v>1048.0018258845139</v>
      </c>
      <c r="S17" s="42">
        <f t="shared" si="3"/>
        <v>1078.8534859991375</v>
      </c>
    </row>
    <row r="18" spans="2:19" x14ac:dyDescent="0.2">
      <c r="B18" s="17" t="s">
        <v>518</v>
      </c>
      <c r="J18" s="18">
        <f t="shared" ref="J18:S18" si="4">-(J14+J15+J16+J13)/J12</f>
        <v>-4.8720585004834224E-3</v>
      </c>
      <c r="K18" s="18">
        <f t="shared" si="4"/>
        <v>-8.016402651996421E-3</v>
      </c>
      <c r="L18" s="18">
        <f t="shared" si="4"/>
        <v>-3.7028144955066548E-3</v>
      </c>
      <c r="M18" s="18">
        <f t="shared" si="4"/>
        <v>-1.892021066862374E-4</v>
      </c>
      <c r="N18" s="18">
        <f t="shared" si="4"/>
        <v>1.9739924825470179E-3</v>
      </c>
      <c r="O18" s="18">
        <f t="shared" si="4"/>
        <v>2.2185393999930025E-3</v>
      </c>
      <c r="P18" s="18">
        <f t="shared" si="4"/>
        <v>2.1184422711011692E-3</v>
      </c>
      <c r="Q18" s="18">
        <f t="shared" si="4"/>
        <v>1.9048749287990862E-3</v>
      </c>
      <c r="R18" s="18">
        <f t="shared" si="4"/>
        <v>1.5891610085383356E-3</v>
      </c>
      <c r="S18" s="18">
        <f t="shared" si="4"/>
        <v>1.1820327113272562E-3</v>
      </c>
    </row>
    <row r="19" spans="2:19" x14ac:dyDescent="0.2">
      <c r="B19" s="17" t="s">
        <v>519</v>
      </c>
      <c r="J19" s="18">
        <f>H2Share</f>
        <v>0.66800000000000004</v>
      </c>
      <c r="K19" s="18">
        <v>1</v>
      </c>
      <c r="L19" s="18">
        <v>1</v>
      </c>
      <c r="M19" s="18">
        <v>1</v>
      </c>
      <c r="N19" s="18">
        <v>1</v>
      </c>
      <c r="O19" s="18">
        <v>1</v>
      </c>
      <c r="P19" s="18">
        <v>1</v>
      </c>
      <c r="Q19" s="18">
        <v>1</v>
      </c>
      <c r="R19" s="18">
        <v>1</v>
      </c>
      <c r="S19" s="18">
        <v>1</v>
      </c>
    </row>
    <row r="20" spans="2:19" x14ac:dyDescent="0.2">
      <c r="B20" t="s">
        <v>520</v>
      </c>
      <c r="J20" s="21">
        <f t="shared" ref="J20:S20" si="5">J17*J19</f>
        <v>491.39412744924721</v>
      </c>
      <c r="K20" s="21">
        <f t="shared" si="5"/>
        <v>788.19470916237265</v>
      </c>
      <c r="L20" s="21">
        <f t="shared" si="5"/>
        <v>833.77086826367986</v>
      </c>
      <c r="M20" s="21">
        <f t="shared" si="5"/>
        <v>874.52516684101067</v>
      </c>
      <c r="N20" s="21">
        <f t="shared" si="5"/>
        <v>912.40656993761968</v>
      </c>
      <c r="O20" s="21">
        <f t="shared" si="5"/>
        <v>947.45514406748498</v>
      </c>
      <c r="P20" s="21">
        <f t="shared" si="5"/>
        <v>982.02714855002773</v>
      </c>
      <c r="Q20" s="21">
        <f t="shared" si="5"/>
        <v>1015.636471440291</v>
      </c>
      <c r="R20" s="21">
        <f t="shared" si="5"/>
        <v>1048.0018258845139</v>
      </c>
      <c r="S20" s="21">
        <f t="shared" si="5"/>
        <v>1078.8534859991375</v>
      </c>
    </row>
    <row r="21" spans="2:19" x14ac:dyDescent="0.2">
      <c r="B21" t="s">
        <v>521</v>
      </c>
      <c r="J21" s="34">
        <v>0.25</v>
      </c>
      <c r="K21" s="29">
        <f>2027-2026</f>
        <v>1</v>
      </c>
      <c r="L21" s="29">
        <f>2028-2026</f>
        <v>2</v>
      </c>
      <c r="M21" s="29">
        <f>2029-2026</f>
        <v>3</v>
      </c>
      <c r="N21" s="29">
        <f>2030-2026</f>
        <v>4</v>
      </c>
      <c r="O21" s="29">
        <f>2031-2026</f>
        <v>5</v>
      </c>
      <c r="P21" s="29">
        <f>2032-2026</f>
        <v>6</v>
      </c>
      <c r="Q21" s="29">
        <f>2033-2026</f>
        <v>7</v>
      </c>
      <c r="R21" s="29">
        <f>2034-2026</f>
        <v>8</v>
      </c>
      <c r="S21" s="29">
        <f>2035-2026</f>
        <v>9</v>
      </c>
    </row>
    <row r="22" spans="2:19" x14ac:dyDescent="0.2">
      <c r="B22" s="17" t="s">
        <v>522</v>
      </c>
      <c r="J22" s="28">
        <f t="shared" ref="J22:S22" si="6">(1+WACC)^-J21</f>
        <v>0.97750655477988257</v>
      </c>
      <c r="K22" s="28">
        <f t="shared" si="6"/>
        <v>0.91301668288598203</v>
      </c>
      <c r="L22" s="28">
        <f t="shared" si="6"/>
        <v>0.83359946322812195</v>
      </c>
      <c r="M22" s="28">
        <f t="shared" si="6"/>
        <v>0.76109021677207511</v>
      </c>
      <c r="N22" s="28">
        <f t="shared" si="6"/>
        <v>0.69488806509421308</v>
      </c>
      <c r="O22" s="28">
        <f t="shared" si="6"/>
        <v>0.63444439616937676</v>
      </c>
      <c r="P22" s="28">
        <f t="shared" si="6"/>
        <v>0.57925831806616424</v>
      </c>
      <c r="Q22" s="28">
        <f t="shared" si="6"/>
        <v>0.52887250809488251</v>
      </c>
      <c r="R22" s="28">
        <f t="shared" si="6"/>
        <v>0.48286942301037922</v>
      </c>
      <c r="S22" s="28">
        <f t="shared" si="6"/>
        <v>0.44086783886400455</v>
      </c>
    </row>
    <row r="23" spans="2:19" x14ac:dyDescent="0.2">
      <c r="B23" s="1" t="s">
        <v>523</v>
      </c>
      <c r="J23" s="41">
        <f t="shared" ref="J23:S23" si="7">J20*J22</f>
        <v>480.34098056198019</v>
      </c>
      <c r="K23" s="41">
        <f t="shared" si="7"/>
        <v>719.63491882771086</v>
      </c>
      <c r="L23" s="41">
        <f t="shared" si="7"/>
        <v>695.03094823984873</v>
      </c>
      <c r="M23" s="41">
        <f t="shared" si="7"/>
        <v>665.59254880365995</v>
      </c>
      <c r="N23" s="41">
        <f t="shared" si="7"/>
        <v>634.02043596320038</v>
      </c>
      <c r="O23" s="41">
        <f t="shared" si="7"/>
        <v>601.10760677546534</v>
      </c>
      <c r="P23" s="41">
        <f t="shared" si="7"/>
        <v>568.84739436440032</v>
      </c>
      <c r="Q23" s="41">
        <f t="shared" si="7"/>
        <v>537.14220796326322</v>
      </c>
      <c r="R23" s="41">
        <f t="shared" si="7"/>
        <v>506.04803697867914</v>
      </c>
      <c r="S23" s="41">
        <f t="shared" si="7"/>
        <v>475.63180482333735</v>
      </c>
    </row>
    <row r="24" spans="2:19" x14ac:dyDescent="0.2">
      <c r="B24" s="17" t="s">
        <v>524</v>
      </c>
      <c r="J24" s="44">
        <f>IS!J33</f>
        <v>970.03191115999994</v>
      </c>
      <c r="K24" s="44">
        <f>IS!K33</f>
        <v>1031.2553096953998</v>
      </c>
      <c r="L24" s="44">
        <f>IS!L33</f>
        <v>1091.2856744702108</v>
      </c>
      <c r="M24" s="44">
        <f>IS!M33</f>
        <v>1145.2726008918776</v>
      </c>
      <c r="N24" s="44">
        <f>IS!N33</f>
        <v>1194.6982939042177</v>
      </c>
      <c r="O24" s="44">
        <f>IS!O33</f>
        <v>1240.2902324188078</v>
      </c>
      <c r="P24" s="44">
        <f>IS!P33</f>
        <v>1285.1410821531615</v>
      </c>
      <c r="Q24" s="44">
        <f>IS!Q33</f>
        <v>1328.6807173617763</v>
      </c>
      <c r="R24" s="44">
        <f>IS!R33</f>
        <v>1370.5465375447757</v>
      </c>
      <c r="S24" s="44">
        <f>IS!S33</f>
        <v>1410.3924560594826</v>
      </c>
    </row>
    <row r="25" spans="2:19" x14ac:dyDescent="0.2">
      <c r="B25" s="3" t="s">
        <v>525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spans="2:19" x14ac:dyDescent="0.2">
      <c r="B26" t="s">
        <v>526</v>
      </c>
      <c r="J26" s="21">
        <f ca="1">CF!J20+CF!J22+CF!J27+CF!J28</f>
        <v>601.75484574613381</v>
      </c>
      <c r="K26" s="21">
        <f ca="1">CF!K20+CF!K22+CF!K27+CF!K28</f>
        <v>631.37458767481053</v>
      </c>
      <c r="L26" s="21">
        <f ca="1">CF!L20+CF!L22+CF!L27+CF!L28</f>
        <v>675.57884007847906</v>
      </c>
      <c r="M26" s="21">
        <f ca="1">CF!M20+CF!M22+CF!M27+CF!M28</f>
        <v>781.5822633795193</v>
      </c>
      <c r="N26" s="21">
        <f ca="1">CF!N20+CF!N22+CF!N27+CF!N28</f>
        <v>930.02964315729503</v>
      </c>
      <c r="O26" s="21">
        <f ca="1">CF!O20+CF!O22+CF!O27+CF!O28</f>
        <v>963.49396926766622</v>
      </c>
      <c r="P26" s="21">
        <f ca="1">CF!P20+CF!P22+CF!P27+CF!P28</f>
        <v>997.29811539864556</v>
      </c>
      <c r="Q26" s="21">
        <f ca="1">CF!Q20+CF!Q22+CF!Q27+CF!Q28</f>
        <v>1032.429639136089</v>
      </c>
      <c r="R26" s="21">
        <f ca="1">CF!R20+CF!R22+CF!R27+CF!R28</f>
        <v>1066.2638269347894</v>
      </c>
      <c r="S26" s="21">
        <f ca="1">CF!S20+CF!S22+CF!S27+CF!S28</f>
        <v>1098.5199777333883</v>
      </c>
    </row>
    <row r="27" spans="2:19" x14ac:dyDescent="0.2">
      <c r="B27" t="s">
        <v>527</v>
      </c>
      <c r="J27" s="21">
        <f t="shared" ref="J27:S27" ca="1" si="8">J26*J19</f>
        <v>401.9722369584174</v>
      </c>
      <c r="K27" s="21">
        <f t="shared" ca="1" si="8"/>
        <v>631.37458767481053</v>
      </c>
      <c r="L27" s="21">
        <f t="shared" ca="1" si="8"/>
        <v>675.57884007847906</v>
      </c>
      <c r="M27" s="21">
        <f t="shared" ca="1" si="8"/>
        <v>781.5822633795193</v>
      </c>
      <c r="N27" s="21">
        <f t="shared" ca="1" si="8"/>
        <v>930.02964315729503</v>
      </c>
      <c r="O27" s="21">
        <f t="shared" ca="1" si="8"/>
        <v>963.49396926766622</v>
      </c>
      <c r="P27" s="21">
        <f t="shared" ca="1" si="8"/>
        <v>997.29811539864556</v>
      </c>
      <c r="Q27" s="21">
        <f t="shared" ca="1" si="8"/>
        <v>1032.429639136089</v>
      </c>
      <c r="R27" s="21">
        <f t="shared" ca="1" si="8"/>
        <v>1066.2638269347894</v>
      </c>
      <c r="S27" s="21">
        <f t="shared" ca="1" si="8"/>
        <v>1098.5199777333883</v>
      </c>
    </row>
    <row r="28" spans="2:19" x14ac:dyDescent="0.2">
      <c r="B28" t="s">
        <v>528</v>
      </c>
      <c r="J28" s="21">
        <f t="shared" ref="J28:S28" ca="1" si="9">J27*(1+Ke)^-J21</f>
        <v>392.11848659508695</v>
      </c>
      <c r="K28" s="21">
        <f t="shared" ca="1" si="9"/>
        <v>571.70518937619079</v>
      </c>
      <c r="L28" s="21">
        <f t="shared" ca="1" si="9"/>
        <v>553.91880766448662</v>
      </c>
      <c r="M28" s="21">
        <f t="shared" ca="1" si="9"/>
        <v>580.26958109773466</v>
      </c>
      <c r="N28" s="21">
        <f t="shared" ca="1" si="9"/>
        <v>625.22586620995696</v>
      </c>
      <c r="O28" s="21">
        <f t="shared" ca="1" si="9"/>
        <v>586.50832749762253</v>
      </c>
      <c r="P28" s="21">
        <f t="shared" ca="1" si="9"/>
        <v>549.71199921074253</v>
      </c>
      <c r="Q28" s="21">
        <f t="shared" ca="1" si="9"/>
        <v>515.29475130437709</v>
      </c>
      <c r="R28" s="21">
        <f t="shared" ca="1" si="9"/>
        <v>481.88673042274166</v>
      </c>
      <c r="S28" s="21">
        <f t="shared" ca="1" si="9"/>
        <v>449.54511969945054</v>
      </c>
    </row>
    <row r="29" spans="2:19" x14ac:dyDescent="0.2">
      <c r="B29" s="3" t="s">
        <v>529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</row>
    <row r="30" spans="2:19" x14ac:dyDescent="0.2">
      <c r="B30" t="s">
        <v>292</v>
      </c>
      <c r="J30" s="16">
        <f ca="1">IS!J23</f>
        <v>636.78363017738388</v>
      </c>
      <c r="K30" s="16">
        <f ca="1">IS!K23</f>
        <v>699.82968311779632</v>
      </c>
      <c r="L30" s="16">
        <f ca="1">IS!L23</f>
        <v>753.92429156819446</v>
      </c>
      <c r="M30" s="16">
        <f ca="1">IS!M23</f>
        <v>803.99598308916541</v>
      </c>
      <c r="N30" s="16">
        <f ca="1">IS!N23</f>
        <v>845.41189858833366</v>
      </c>
      <c r="O30" s="16">
        <f ca="1">IS!O23</f>
        <v>876.01482225971927</v>
      </c>
      <c r="P30" s="16">
        <f ca="1">IS!P23</f>
        <v>906.66147272820285</v>
      </c>
      <c r="Q30" s="16">
        <f ca="1">IS!Q23</f>
        <v>938.49202790812706</v>
      </c>
      <c r="R30" s="16">
        <f ca="1">IS!R23</f>
        <v>969.02150964291832</v>
      </c>
      <c r="S30" s="16">
        <f ca="1">IS!S23</f>
        <v>997.99595549506478</v>
      </c>
    </row>
    <row r="31" spans="2:19" x14ac:dyDescent="0.2">
      <c r="B31" t="s">
        <v>530</v>
      </c>
      <c r="J31" s="21">
        <f>BookEquityJun</f>
        <v>1384.674</v>
      </c>
      <c r="K31" s="16">
        <f ca="1">Equity!K7</f>
        <v>1384.8940183412501</v>
      </c>
      <c r="L31" s="16">
        <f ca="1">Equity!L7</f>
        <v>1491.5807261200355</v>
      </c>
      <c r="M31" s="16">
        <f ca="1">Equity!M7</f>
        <v>1609.7367426214059</v>
      </c>
      <c r="N31" s="16">
        <f ca="1">Equity!N7</f>
        <v>1742.4182876829177</v>
      </c>
      <c r="O31" s="16">
        <f ca="1">Equity!O7</f>
        <v>1632.056370037122</v>
      </c>
      <c r="P31" s="16">
        <f ca="1">Equity!P7</f>
        <v>1589.2391732293559</v>
      </c>
      <c r="Q31" s="16">
        <f ca="1">Equity!Q7</f>
        <v>1544.8284974075316</v>
      </c>
      <c r="R31" s="16">
        <f ca="1">Equity!R7</f>
        <v>1498.6390538753667</v>
      </c>
      <c r="S31" s="16">
        <f ca="1">Equity!S7</f>
        <v>1450.6137376337742</v>
      </c>
    </row>
    <row r="32" spans="2:19" x14ac:dyDescent="0.2">
      <c r="B32" t="s">
        <v>531</v>
      </c>
      <c r="J32" s="21">
        <f ca="1">0.5*J30-Ke*0.5*J31</f>
        <v>246.13196337220177</v>
      </c>
      <c r="K32" s="21">
        <f t="shared" ref="K32:S32" ca="1" si="10">K30-Ke*K31</f>
        <v>555.28701616746298</v>
      </c>
      <c r="L32" s="21">
        <f t="shared" ca="1" si="10"/>
        <v>598.24663445524436</v>
      </c>
      <c r="M32" s="21">
        <f t="shared" ca="1" si="10"/>
        <v>635.98627347605975</v>
      </c>
      <c r="N32" s="21">
        <f t="shared" ca="1" si="10"/>
        <v>663.55409365219941</v>
      </c>
      <c r="O32" s="21">
        <f t="shared" ca="1" si="10"/>
        <v>705.67559253223726</v>
      </c>
      <c r="P32" s="21">
        <f t="shared" ca="1" si="10"/>
        <v>740.79111335178538</v>
      </c>
      <c r="Q32" s="21">
        <f t="shared" ca="1" si="10"/>
        <v>777.25685175825129</v>
      </c>
      <c r="R32" s="21">
        <f t="shared" ca="1" si="10"/>
        <v>812.60716834731352</v>
      </c>
      <c r="S32" s="21">
        <f t="shared" ca="1" si="10"/>
        <v>846.59406078292295</v>
      </c>
    </row>
    <row r="33" spans="2:19" x14ac:dyDescent="0.2">
      <c r="B33" t="s">
        <v>528</v>
      </c>
      <c r="J33" s="21">
        <f t="shared" ref="J33:S33" ca="1" si="11">J32*(1+Ke)^-J21</f>
        <v>240.09840508007284</v>
      </c>
      <c r="K33" s="21">
        <f t="shared" ca="1" si="11"/>
        <v>502.8084356471872</v>
      </c>
      <c r="L33" s="21">
        <f t="shared" ca="1" si="11"/>
        <v>490.51279108778175</v>
      </c>
      <c r="M33" s="21">
        <f t="shared" ca="1" si="11"/>
        <v>472.17485066528826</v>
      </c>
      <c r="N33" s="21">
        <f t="shared" ca="1" si="11"/>
        <v>446.08382757827053</v>
      </c>
      <c r="O33" s="21">
        <f t="shared" ca="1" si="11"/>
        <v>429.56637481245701</v>
      </c>
      <c r="P33" s="21">
        <f t="shared" ca="1" si="11"/>
        <v>408.32501097767022</v>
      </c>
      <c r="Q33" s="21">
        <f t="shared" ca="1" si="11"/>
        <v>387.93575943977464</v>
      </c>
      <c r="R33" s="21">
        <f t="shared" ca="1" si="11"/>
        <v>367.24926944081528</v>
      </c>
      <c r="S33" s="21">
        <f t="shared" ca="1" si="11"/>
        <v>346.44998371060177</v>
      </c>
    </row>
    <row r="34" spans="2:19" x14ac:dyDescent="0.2">
      <c r="B34" s="3" t="s">
        <v>532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spans="2:19" x14ac:dyDescent="0.2">
      <c r="B35" t="s">
        <v>24</v>
      </c>
      <c r="J35" s="16">
        <f>Rev_Build!J24</f>
        <v>694.67245000000003</v>
      </c>
      <c r="K35" s="16">
        <f>Rev_Build!K24</f>
        <v>693.87172299999997</v>
      </c>
      <c r="L35" s="16">
        <f>Rev_Build!L24</f>
        <v>701.25169093999989</v>
      </c>
      <c r="M35" s="16">
        <f>Rev_Build!M24</f>
        <v>716.70959526073977</v>
      </c>
      <c r="N35" s="16">
        <f>Rev_Build!N24</f>
        <v>734.9069674408172</v>
      </c>
      <c r="O35" s="16">
        <f>Rev_Build!O24</f>
        <v>753.51895063679513</v>
      </c>
      <c r="P35" s="16">
        <f>Rev_Build!P24</f>
        <v>772.54710607390234</v>
      </c>
      <c r="Q35" s="16">
        <f>Rev_Build!Q24</f>
        <v>791.99402527729421</v>
      </c>
      <c r="R35" s="16">
        <f>Rev_Build!R24</f>
        <v>811.86297693915458</v>
      </c>
      <c r="S35" s="16">
        <f>Rev_Build!S24</f>
        <v>832.15955136263335</v>
      </c>
    </row>
    <row r="36" spans="2:19" x14ac:dyDescent="0.2">
      <c r="B36" t="s">
        <v>309</v>
      </c>
      <c r="J36" s="16">
        <f>IS!J44</f>
        <v>62.520520499999982</v>
      </c>
      <c r="K36" s="16">
        <f>IS!K44</f>
        <v>72.856530914999979</v>
      </c>
      <c r="L36" s="16">
        <f>IS!L44</f>
        <v>84.150202912799983</v>
      </c>
      <c r="M36" s="16">
        <f>IS!M44</f>
        <v>89.588699407592472</v>
      </c>
      <c r="N36" s="16">
        <f>IS!N44</f>
        <v>91.86337093010215</v>
      </c>
      <c r="O36" s="16">
        <f>IS!O44</f>
        <v>94.189868829599391</v>
      </c>
      <c r="P36" s="16">
        <f>IS!P44</f>
        <v>96.568388259237793</v>
      </c>
      <c r="Q36" s="16">
        <f>IS!Q44</f>
        <v>98.999253159661777</v>
      </c>
      <c r="R36" s="16">
        <f>IS!R44</f>
        <v>101.48287211739432</v>
      </c>
      <c r="S36" s="16">
        <f>IS!S44</f>
        <v>104.01994392032917</v>
      </c>
    </row>
    <row r="37" spans="2:19" x14ac:dyDescent="0.2">
      <c r="B37" t="s">
        <v>533</v>
      </c>
      <c r="J37" s="21">
        <f>-J35*Inputs!J71*HD_CorpAlloc</f>
        <v>-24.313535750000003</v>
      </c>
      <c r="K37" s="21">
        <f>-K35*Inputs!K71*HD_CorpAlloc</f>
        <v>-24.285510305000003</v>
      </c>
      <c r="L37" s="21">
        <f>-L35*Inputs!L71*HD_CorpAlloc</f>
        <v>-24.543809182899999</v>
      </c>
      <c r="M37" s="21">
        <f>-M35*Inputs!M71*HD_CorpAlloc</f>
        <v>-25.084835834125894</v>
      </c>
      <c r="N37" s="21">
        <f>-N35*Inputs!N71*HD_CorpAlloc</f>
        <v>-25.721743860428603</v>
      </c>
      <c r="O37" s="21">
        <f>-O35*Inputs!O71*HD_CorpAlloc</f>
        <v>-26.373163272287833</v>
      </c>
      <c r="P37" s="21">
        <f>-P35*Inputs!P71*HD_CorpAlloc</f>
        <v>-27.039148712586584</v>
      </c>
      <c r="Q37" s="21">
        <f>-Q35*Inputs!Q71*HD_CorpAlloc</f>
        <v>-27.719790884705301</v>
      </c>
      <c r="R37" s="21">
        <f>-R35*Inputs!R71*HD_CorpAlloc</f>
        <v>-28.415204192870412</v>
      </c>
      <c r="S37" s="21">
        <f>-S35*Inputs!S71*HD_CorpAlloc</f>
        <v>-29.125584297692171</v>
      </c>
    </row>
    <row r="38" spans="2:19" x14ac:dyDescent="0.2">
      <c r="B38" t="s">
        <v>512</v>
      </c>
      <c r="J38" s="21">
        <f>(J36+J37)*(1-Inputs!J103)</f>
        <v>31.329727494999982</v>
      </c>
      <c r="K38" s="21">
        <f>(K36+K37)*(1-Inputs!K103)</f>
        <v>39.828236900199983</v>
      </c>
      <c r="L38" s="21">
        <f>(L36+L37)*(1-Inputs!L103)</f>
        <v>48.877242858517988</v>
      </c>
      <c r="M38" s="21">
        <f>(M36+M37)*(1-Inputs!M103)</f>
        <v>52.893168130242593</v>
      </c>
      <c r="N38" s="21">
        <f>(N36+N37)*(1-Inputs!N103)</f>
        <v>54.236134197132316</v>
      </c>
      <c r="O38" s="21">
        <f>(O36+O37)*(1-Inputs!O103)</f>
        <v>55.60969855699549</v>
      </c>
      <c r="P38" s="21">
        <f>(P36+P37)*(1-Inputs!P103)</f>
        <v>57.013976428253997</v>
      </c>
      <c r="Q38" s="21">
        <f>(Q36+Q37)*(1-Inputs!Q103)</f>
        <v>58.449159065464315</v>
      </c>
      <c r="R38" s="21">
        <f>(R36+R37)*(1-Inputs!R103)</f>
        <v>59.915487698109608</v>
      </c>
      <c r="S38" s="21">
        <f>(S36+S37)*(1-Inputs!S103)</f>
        <v>61.413374890562345</v>
      </c>
    </row>
    <row r="39" spans="2:19" x14ac:dyDescent="0.2">
      <c r="B39" t="s">
        <v>534</v>
      </c>
      <c r="J39" s="21">
        <f t="shared" ref="J39:S39" si="12">J38*(1-HD_Reinvest)*J19</f>
        <v>18.83543216999399</v>
      </c>
      <c r="K39" s="21">
        <f t="shared" si="12"/>
        <v>35.845413210179984</v>
      </c>
      <c r="L39" s="21">
        <f t="shared" si="12"/>
        <v>43.989518572666192</v>
      </c>
      <c r="M39" s="21">
        <f t="shared" si="12"/>
        <v>47.603851317218336</v>
      </c>
      <c r="N39" s="21">
        <f t="shared" si="12"/>
        <v>48.812520777419088</v>
      </c>
      <c r="O39" s="21">
        <f t="shared" si="12"/>
        <v>50.048728701295943</v>
      </c>
      <c r="P39" s="21">
        <f t="shared" si="12"/>
        <v>51.312578785428599</v>
      </c>
      <c r="Q39" s="21">
        <f t="shared" si="12"/>
        <v>52.604243158917882</v>
      </c>
      <c r="R39" s="21">
        <f t="shared" si="12"/>
        <v>53.923938928298647</v>
      </c>
      <c r="S39" s="21">
        <f t="shared" si="12"/>
        <v>55.272037401506111</v>
      </c>
    </row>
    <row r="40" spans="2:19" x14ac:dyDescent="0.2">
      <c r="B40" t="s">
        <v>535</v>
      </c>
      <c r="J40" s="21">
        <f t="shared" ref="J40:S40" si="13">J39*(1+WACC+HD_Premium)^-J21</f>
        <v>18.36997098474836</v>
      </c>
      <c r="K40" s="21">
        <f t="shared" si="13"/>
        <v>32.431356569866772</v>
      </c>
      <c r="L40" s="21">
        <f t="shared" si="13"/>
        <v>36.009099187387037</v>
      </c>
      <c r="M40" s="21">
        <f t="shared" si="13"/>
        <v>35.256294251740314</v>
      </c>
      <c r="N40" s="21">
        <f t="shared" si="13"/>
        <v>32.708251781910434</v>
      </c>
      <c r="O40" s="21">
        <f t="shared" si="13"/>
        <v>30.342451784867873</v>
      </c>
      <c r="P40" s="21">
        <f t="shared" si="13"/>
        <v>28.14576034807876</v>
      </c>
      <c r="Q40" s="21">
        <f t="shared" si="13"/>
        <v>26.106066791955424</v>
      </c>
      <c r="R40" s="21">
        <f t="shared" si="13"/>
        <v>24.21217478732753</v>
      </c>
      <c r="S40" s="21">
        <f t="shared" si="13"/>
        <v>22.453765869203934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G42"/>
  <sheetViews>
    <sheetView showGridLines="0" zoomScale="90" zoomScaleNormal="90" workbookViewId="0"/>
  </sheetViews>
  <sheetFormatPr defaultRowHeight="12.75" x14ac:dyDescent="0.2"/>
  <cols>
    <col min="1" max="1" width="2.7109375" customWidth="1"/>
    <col min="2" max="2" width="52.7109375" customWidth="1"/>
    <col min="3" max="9" width="13.7109375" customWidth="1"/>
    <col min="10" max="19" width="11.28515625" customWidth="1"/>
  </cols>
  <sheetData>
    <row r="1" spans="2:7" x14ac:dyDescent="0.2">
      <c r="B1" s="1" t="s">
        <v>536</v>
      </c>
    </row>
    <row r="2" spans="2:7" x14ac:dyDescent="0.2">
      <c r="B2" s="2" t="s">
        <v>1</v>
      </c>
    </row>
    <row r="4" spans="2:7" x14ac:dyDescent="0.2">
      <c r="B4" s="3" t="s">
        <v>537</v>
      </c>
      <c r="C4" s="15"/>
      <c r="D4" s="15"/>
    </row>
    <row r="5" spans="2:7" x14ac:dyDescent="0.2">
      <c r="B5" t="s">
        <v>538</v>
      </c>
      <c r="C5" s="32">
        <v>0</v>
      </c>
    </row>
    <row r="6" spans="2:7" x14ac:dyDescent="0.2">
      <c r="B6" t="s">
        <v>539</v>
      </c>
      <c r="C6" s="32">
        <v>0</v>
      </c>
    </row>
    <row r="8" spans="2:7" x14ac:dyDescent="0.2">
      <c r="B8" s="3" t="s">
        <v>827</v>
      </c>
    </row>
    <row r="9" spans="2:7" x14ac:dyDescent="0.2">
      <c r="B9" s="3" t="s">
        <v>828</v>
      </c>
      <c r="C9" s="50">
        <f>TG-0.01</f>
        <v>1.5000000000000001E-2</v>
      </c>
      <c r="D9" s="50">
        <f>TG-0.005</f>
        <v>0.02</v>
      </c>
      <c r="E9" s="50">
        <f>TG+0</f>
        <v>2.5000000000000001E-2</v>
      </c>
      <c r="F9" s="50">
        <f>TG+0.005</f>
        <v>3.0000000000000002E-2</v>
      </c>
      <c r="G9" s="50">
        <f>TG+0.01</f>
        <v>3.5000000000000003E-2</v>
      </c>
    </row>
    <row r="10" spans="2:7" x14ac:dyDescent="0.2">
      <c r="B10" s="50">
        <f>WACC-0.015</f>
        <v>8.0270238479180564E-2</v>
      </c>
      <c r="C10" s="51">
        <f ca="1">((SUMPRODUCT(DCF!$J$20:$S$20,(1+$B10)^-DCF!$J$21:$S$21)+FCFF_TV*(1+C$9)/($B10-C$9)*(1+$B10)^-N_End+Tax!$S$15/DTAYears*(1-(1+$B10)^-DTAYears)/$B10*(1+$B10)^-N_End)-DebtFace+CashJun-UTP*UTPPct)*(1+Ke)^RollFwd/SharesDil</f>
        <v>260.08882294353208</v>
      </c>
      <c r="D10" s="51">
        <f ca="1">((SUMPRODUCT(DCF!$J$20:$S$20,(1+$B10)^-DCF!$J$21:$S$21)+FCFF_TV*(1+D$9)/($B10-D$9)*(1+$B10)^-N_End+Tax!$S$15/DTAYears*(1-(1+$B10)^-DTAYears)/$B10*(1+$B10)^-N_End)-DebtFace+CashJun-UTP*UTPPct)*(1+Ke)^RollFwd/SharesDil</f>
        <v>274.4361314247638</v>
      </c>
      <c r="E10" s="51">
        <f ca="1">((SUMPRODUCT(DCF!$J$20:$S$20,(1+$B10)^-DCF!$J$21:$S$21)+FCFF_TV*(1+E$9)/($B10-E$9)*(1+$B10)^-N_End+Tax!$S$15/DTAYears*(1-(1+$B10)^-DTAYears)/$B10*(1+$B10)^-N_End)-DebtFace+CashJun-UTP*UTPPct)*(1+Ke)^RollFwd/SharesDil</f>
        <v>291.37928694339087</v>
      </c>
      <c r="F10" s="51">
        <f ca="1">((SUMPRODUCT(DCF!$J$20:$S$20,(1+$B10)^-DCF!$J$21:$S$21)+FCFF_TV*(1+F$9)/($B10-F$9)*(1+$B10)^-N_End+Tax!$S$15/DTAYears*(1-(1+$B10)^-DTAYears)/$B10*(1+$B10)^-N_End)-DebtFace+CashJun-UTP*UTPPct)*(1+Ke)^RollFwd/SharesDil</f>
        <v>311.6928572504109</v>
      </c>
      <c r="G10" s="51">
        <f ca="1">((SUMPRODUCT(DCF!$J$20:$S$20,(1+$B10)^-DCF!$J$21:$S$21)+FCFF_TV*(1+G$9)/($B10-G$9)*(1+$B10)^-N_End+Tax!$S$15/DTAYears*(1-(1+$B10)^-DTAYears)/$B10*(1+$B10)^-N_End)-DebtFace+CashJun-UTP*UTPPct)*(1+Ke)^RollFwd/SharesDil</f>
        <v>336.49360743309308</v>
      </c>
    </row>
    <row r="11" spans="2:7" x14ac:dyDescent="0.2">
      <c r="B11" s="50">
        <f>WACC-0.01</f>
        <v>8.5270238479180568E-2</v>
      </c>
      <c r="C11" s="51">
        <f ca="1">((SUMPRODUCT(DCF!$J$20:$S$20,(1+$B11)^-DCF!$J$21:$S$21)+FCFF_TV*(1+C$9)/($B11-C$9)*(1+$B11)^-N_End+Tax!$S$15/DTAYears*(1-(1+$B11)^-DTAYears)/$B11*(1+$B11)^-N_End)-DebtFace+CashJun-UTP*UTPPct)*(1+Ke)^RollFwd/SharesDil</f>
        <v>239.17958079420436</v>
      </c>
      <c r="D11" s="51">
        <f ca="1">((SUMPRODUCT(DCF!$J$20:$S$20,(1+$B11)^-DCF!$J$21:$S$21)+FCFF_TV*(1+D$9)/($B11-D$9)*(1+$B11)^-N_End+Tax!$S$15/DTAYears*(1-(1+$B11)^-DTAYears)/$B11*(1+$B11)^-N_End)-DebtFace+CashJun-UTP*UTPPct)*(1+Ke)^RollFwd/SharesDil</f>
        <v>251.01150342919499</v>
      </c>
      <c r="E11" s="51">
        <f ca="1">((SUMPRODUCT(DCF!$J$20:$S$20,(1+$B11)^-DCF!$J$21:$S$21)+FCFF_TV*(1+E$9)/($B11-E$9)*(1+$B11)^-N_End+Tax!$S$15/DTAYears*(1-(1+$B11)^-DTAYears)/$B11*(1+$B11)^-N_End)-DebtFace+CashJun-UTP*UTPPct)*(1+Ke)^RollFwd/SharesDil</f>
        <v>264.80657121402231</v>
      </c>
      <c r="F11" s="51">
        <f ca="1">((SUMPRODUCT(DCF!$J$20:$S$20,(1+$B11)^-DCF!$J$21:$S$21)+FCFF_TV*(1+F$9)/($B11-F$9)*(1+$B11)^-N_End+Tax!$S$15/DTAYears*(1-(1+$B11)^-DTAYears)/$B11*(1+$B11)^-N_End)-DebtFace+CashJun-UTP*UTPPct)*(1+Ke)^RollFwd/SharesDil</f>
        <v>281.09756956915538</v>
      </c>
      <c r="G11" s="51">
        <f ca="1">((SUMPRODUCT(DCF!$J$20:$S$20,(1+$B11)^-DCF!$J$21:$S$21)+FCFF_TV*(1+G$9)/($B11-G$9)*(1+$B11)^-N_End+Tax!$S$15/DTAYears*(1-(1+$B11)^-DTAYears)/$B11*(1+$B11)^-N_End)-DebtFace+CashJun-UTP*UTPPct)*(1+Ke)^RollFwd/SharesDil</f>
        <v>300.62925244220253</v>
      </c>
    </row>
    <row r="12" spans="2:7" x14ac:dyDescent="0.2">
      <c r="B12" s="50">
        <f>WACC-0.005</f>
        <v>9.0270238479180559E-2</v>
      </c>
      <c r="C12" s="51">
        <f ca="1">((SUMPRODUCT(DCF!$J$20:$S$20,(1+$B12)^-DCF!$J$21:$S$21)+FCFF_TV*(1+C$9)/($B12-C$9)*(1+$B12)^-N_End+Tax!$S$15/DTAYears*(1-(1+$B12)^-DTAYears)/$B12*(1+$B12)^-N_End)-DebtFace+CashJun-UTP*UTPPct)*(1+Ke)^RollFwd/SharesDil</f>
        <v>221.05305640757928</v>
      </c>
      <c r="D12" s="51">
        <f ca="1">((SUMPRODUCT(DCF!$J$20:$S$20,(1+$B12)^-DCF!$J$21:$S$21)+FCFF_TV*(1+D$9)/($B12-D$9)*(1+$B12)^-N_End+Tax!$S$15/DTAYears*(1-(1+$B12)^-DTAYears)/$B12*(1+$B12)^-N_End)-DebtFace+CashJun-UTP*UTPPct)*(1+Ke)^RollFwd/SharesDil</f>
        <v>230.91991689148855</v>
      </c>
      <c r="E12" s="51">
        <f ca="1">((SUMPRODUCT(DCF!$J$20:$S$20,(1+$B12)^-DCF!$J$21:$S$21)+FCFF_TV*(1+E$9)/($B12-E$9)*(1+$B12)^-N_End+Tax!$S$15/DTAYears*(1-(1+$B12)^-DTAYears)/$B12*(1+$B12)^-N_End)-DebtFace+CashJun-UTP*UTPPct)*(1+Ke)^RollFwd/SharesDil</f>
        <v>242.29847102227419</v>
      </c>
      <c r="F12" s="51">
        <f ca="1">((SUMPRODUCT(DCF!$J$20:$S$20,(1+$B12)^-DCF!$J$21:$S$21)+FCFF_TV*(1+F$9)/($B12-F$9)*(1+$B12)^-N_End+Tax!$S$15/DTAYears*(1-(1+$B12)^-DTAYears)/$B12*(1+$B12)^-N_End)-DebtFace+CashJun-UTP*UTPPct)*(1+Ke)^RollFwd/SharesDil</f>
        <v>255.56494768628772</v>
      </c>
      <c r="G12" s="51">
        <f ca="1">((SUMPRODUCT(DCF!$J$20:$S$20,(1+$B12)^-DCF!$J$21:$S$21)+FCFF_TV*(1+G$9)/($B12-G$9)*(1+$B12)^-N_End+Tax!$S$15/DTAYears*(1-(1+$B12)^-DTAYears)/$B12*(1+$B12)^-N_End)-DebtFace+CashJun-UTP*UTPPct)*(1+Ke)^RollFwd/SharesDil</f>
        <v>271.23171735229562</v>
      </c>
    </row>
    <row r="13" spans="2:7" x14ac:dyDescent="0.2">
      <c r="B13" s="50">
        <f>WACC+0</f>
        <v>9.5270238479180563E-2</v>
      </c>
      <c r="C13" s="51">
        <f ca="1">((SUMPRODUCT(DCF!$J$20:$S$20,(1+$B13)^-DCF!$J$21:$S$21)+FCFF_TV*(1+C$9)/($B13-C$9)*(1+$B13)^-N_End+Tax!$S$15/DTAYears*(1-(1+$B13)^-DTAYears)/$B13*(1+$B13)^-N_End)-DebtFace+CashJun-UTP*UTPPct)*(1+Ke)^RollFwd/SharesDil</f>
        <v>205.18966629635429</v>
      </c>
      <c r="D13" s="51">
        <f ca="1">((SUMPRODUCT(DCF!$J$20:$S$20,(1+$B13)^-DCF!$J$21:$S$21)+FCFF_TV*(1+D$9)/($B13-D$9)*(1+$B13)^-N_End+Tax!$S$15/DTAYears*(1-(1+$B13)^-DTAYears)/$B13*(1+$B13)^-N_End)-DebtFace+CashJun-UTP*UTPPct)*(1+Ke)^RollFwd/SharesDil</f>
        <v>213.49783409058418</v>
      </c>
      <c r="E13" s="52">
        <f ca="1">((SUMPRODUCT(DCF!$J$20:$S$20,(1+$B13)^-DCF!$J$21:$S$21)+FCFF_TV*(1+E$9)/($B13-E$9)*(1+$B13)^-N_End+Tax!$S$15/DTAYears*(1-(1+$B13)^-DTAYears)/$B13*(1+$B13)^-N_End)-DebtFace+CashJun-UTP*UTPPct)*(1+Ke)^RollFwd/SharesDil</f>
        <v>222.98831860580984</v>
      </c>
      <c r="F13" s="51">
        <f ca="1">((SUMPRODUCT(DCF!$J$20:$S$20,(1+$B13)^-DCF!$J$21:$S$21)+FCFF_TV*(1+F$9)/($B13-F$9)*(1+$B13)^-N_End+Tax!$S$15/DTAYears*(1-(1+$B13)^-DTAYears)/$B13*(1+$B13)^-N_End)-DebtFace+CashJun-UTP*UTPPct)*(1+Ke)^RollFwd/SharesDil</f>
        <v>233.93283251273948</v>
      </c>
      <c r="G13" s="51">
        <f ca="1">((SUMPRODUCT(DCF!$J$20:$S$20,(1+$B13)^-DCF!$J$21:$S$21)+FCFF_TV*(1+G$9)/($B13-G$9)*(1+$B13)^-N_End+Tax!$S$15/DTAYears*(1-(1+$B13)^-DTAYears)/$B13*(1+$B13)^-N_End)-DebtFace+CashJun-UTP*UTPPct)*(1+Ke)^RollFwd/SharesDil</f>
        <v>246.69325327238724</v>
      </c>
    </row>
    <row r="14" spans="2:7" x14ac:dyDescent="0.2">
      <c r="B14" s="50">
        <f>WACC+0.005</f>
        <v>0.10027023847918057</v>
      </c>
      <c r="C14" s="51">
        <f ca="1">((SUMPRODUCT(DCF!$J$20:$S$20,(1+$B14)^-DCF!$J$21:$S$21)+FCFF_TV*(1+C$9)/($B14-C$9)*(1+$B14)^-N_End+Tax!$S$15/DTAYears*(1-(1+$B14)^-DTAYears)/$B14*(1+$B14)^-N_End)-DebtFace+CashJun-UTP*UTPPct)*(1+Ke)^RollFwd/SharesDil</f>
        <v>191.19160231979433</v>
      </c>
      <c r="D14" s="51">
        <f ca="1">((SUMPRODUCT(DCF!$J$20:$S$20,(1+$B14)^-DCF!$J$21:$S$21)+FCFF_TV*(1+D$9)/($B14-D$9)*(1+$B14)^-N_End+Tax!$S$15/DTAYears*(1-(1+$B14)^-DTAYears)/$B14*(1+$B14)^-N_End)-DebtFace+CashJun-UTP*UTPPct)*(1+Ke)^RollFwd/SharesDil</f>
        <v>198.24693347058437</v>
      </c>
      <c r="E14" s="51">
        <f ca="1">((SUMPRODUCT(DCF!$J$20:$S$20,(1+$B14)^-DCF!$J$21:$S$21)+FCFF_TV*(1+E$9)/($B14-E$9)*(1+$B14)^-N_End+Tax!$S$15/DTAYears*(1-(1+$B14)^-DTAYears)/$B14*(1+$B14)^-N_End)-DebtFace+CashJun-UTP*UTPPct)*(1+Ke)^RollFwd/SharesDil</f>
        <v>206.23959806063817</v>
      </c>
      <c r="F14" s="51">
        <f ca="1">((SUMPRODUCT(DCF!$J$20:$S$20,(1+$B14)^-DCF!$J$21:$S$21)+FCFF_TV*(1+F$9)/($B14-F$9)*(1+$B14)^-N_End+Tax!$S$15/DTAYears*(1-(1+$B14)^-DTAYears)/$B14*(1+$B14)^-N_End)-DebtFace+CashJun-UTP*UTPPct)*(1+Ke)^RollFwd/SharesDil</f>
        <v>215.36968081847326</v>
      </c>
      <c r="G14" s="51">
        <f ca="1">((SUMPRODUCT(DCF!$J$20:$S$20,(1+$B14)^-DCF!$J$21:$S$21)+FCFF_TV*(1+G$9)/($B14-G$9)*(1+$B14)^-N_End+Tax!$S$15/DTAYears*(1-(1+$B14)^-DTAYears)/$B14*(1+$B14)^-N_End)-DebtFace+CashJun-UTP*UTPPct)*(1+Ke)^RollFwd/SharesDil</f>
        <v>225.89857610872272</v>
      </c>
    </row>
    <row r="15" spans="2:7" x14ac:dyDescent="0.2">
      <c r="B15" s="50">
        <f>WACC+0.01</f>
        <v>0.10527023847918056</v>
      </c>
      <c r="C15" s="51">
        <f ca="1">((SUMPRODUCT(DCF!$J$20:$S$20,(1+$B15)^-DCF!$J$21:$S$21)+FCFF_TV*(1+C$9)/($B15-C$9)*(1+$B15)^-N_End+Tax!$S$15/DTAYears*(1-(1+$B15)^-DTAYears)/$B15*(1+$B15)^-N_End)-DebtFace+CashJun-UTP*UTPPct)*(1+Ke)^RollFwd/SharesDil</f>
        <v>178.74911880485311</v>
      </c>
      <c r="D15" s="51">
        <f ca="1">((SUMPRODUCT(DCF!$J$20:$S$20,(1+$B15)^-DCF!$J$21:$S$21)+FCFF_TV*(1+D$9)/($B15-D$9)*(1+$B15)^-N_End+Tax!$S$15/DTAYears*(1-(1+$B15)^-DTAYears)/$B15*(1+$B15)^-N_End)-DebtFace+CashJun-UTP*UTPPct)*(1+Ke)^RollFwd/SharesDil</f>
        <v>184.78568447324619</v>
      </c>
      <c r="E15" s="51">
        <f ca="1">((SUMPRODUCT(DCF!$J$20:$S$20,(1+$B15)^-DCF!$J$21:$S$21)+FCFF_TV*(1+E$9)/($B15-E$9)*(1+$B15)^-N_End+Tax!$S$15/DTAYears*(1-(1+$B15)^-DTAYears)/$B15*(1+$B15)^-N_End)-DebtFace+CashJun-UTP*UTPPct)*(1+Ke)^RollFwd/SharesDil</f>
        <v>191.57428050591412</v>
      </c>
      <c r="F15" s="51">
        <f ca="1">((SUMPRODUCT(DCF!$J$20:$S$20,(1+$B15)^-DCF!$J$21:$S$21)+FCFF_TV*(1+F$9)/($B15-F$9)*(1+$B15)^-N_End+Tax!$S$15/DTAYears*(1-(1+$B15)^-DTAYears)/$B15*(1+$B15)^-N_End)-DebtFace+CashJun-UTP*UTPPct)*(1+Ke)^RollFwd/SharesDil</f>
        <v>199.26477298129703</v>
      </c>
      <c r="G15" s="51">
        <f ca="1">((SUMPRODUCT(DCF!$J$20:$S$20,(1+$B15)^-DCF!$J$21:$S$21)+FCFF_TV*(1+G$9)/($B15-G$9)*(1+$B15)^-N_End+Tax!$S$15/DTAYears*(1-(1+$B15)^-DTAYears)/$B15*(1+$B15)^-N_End)-DebtFace+CashJun-UTP*UTPPct)*(1+Ke)^RollFwd/SharesDil</f>
        <v>208.04968218868825</v>
      </c>
    </row>
    <row r="16" spans="2:7" x14ac:dyDescent="0.2">
      <c r="B16" s="50">
        <f>WACC+0.015</f>
        <v>0.11027023847918056</v>
      </c>
      <c r="C16" s="51">
        <f ca="1">((SUMPRODUCT(DCF!$J$20:$S$20,(1+$B16)^-DCF!$J$21:$S$21)+FCFF_TV*(1+C$9)/($B16-C$9)*(1+$B16)^-N_End+Tax!$S$15/DTAYears*(1-(1+$B16)^-DTAYears)/$B16*(1+$B16)^-N_End)-DebtFace+CashJun-UTP*UTPPct)*(1+Ke)^RollFwd/SharesDil</f>
        <v>167.61743417014682</v>
      </c>
      <c r="D16" s="51">
        <f ca="1">((SUMPRODUCT(DCF!$J$20:$S$20,(1+$B16)^-DCF!$J$21:$S$21)+FCFF_TV*(1+D$9)/($B16-D$9)*(1+$B16)^-N_End+Tax!$S$15/DTAYears*(1-(1+$B16)^-DTAYears)/$B16*(1+$B16)^-N_End)-DebtFace+CashJun-UTP*UTPPct)*(1+Ke)^RollFwd/SharesDil</f>
        <v>172.81701416110488</v>
      </c>
      <c r="E16" s="51">
        <f ca="1">((SUMPRODUCT(DCF!$J$20:$S$20,(1+$B16)^-DCF!$J$21:$S$21)+FCFF_TV*(1+E$9)/($B16-E$9)*(1+$B16)^-N_End+Tax!$S$15/DTAYears*(1-(1+$B16)^-DTAYears)/$B16*(1+$B16)^-N_End)-DebtFace+CashJun-UTP*UTPPct)*(1+Ke)^RollFwd/SharesDil</f>
        <v>178.62637079672743</v>
      </c>
      <c r="F16" s="51">
        <f ca="1">((SUMPRODUCT(DCF!$J$20:$S$20,(1+$B16)^-DCF!$J$21:$S$21)+FCFF_TV*(1+F$9)/($B16-F$9)*(1+$B16)^-N_End+Tax!$S$15/DTAYears*(1-(1+$B16)^-DTAYears)/$B16*(1+$B16)^-N_End)-DebtFace+CashJun-UTP*UTPPct)*(1+Ke)^RollFwd/SharesDil</f>
        <v>185.15945228301553</v>
      </c>
      <c r="G16" s="51">
        <f ca="1">((SUMPRODUCT(DCF!$J$20:$S$20,(1+$B16)^-DCF!$J$21:$S$21)+FCFF_TV*(1+G$9)/($B16-G$9)*(1+$B16)^-N_End+Tax!$S$15/DTAYears*(1-(1+$B16)^-DTAYears)/$B16*(1+$B16)^-N_End)-DebtFace+CashJun-UTP*UTPPct)*(1+Ke)^RollFwd/SharesDil</f>
        <v>192.56048392042402</v>
      </c>
    </row>
    <row r="19" spans="2:7" x14ac:dyDescent="0.2">
      <c r="B19" s="3" t="s">
        <v>829</v>
      </c>
    </row>
    <row r="20" spans="2:7" x14ac:dyDescent="0.2">
      <c r="B20" s="3" t="s">
        <v>830</v>
      </c>
      <c r="C20" s="53">
        <f>ExitMultiple-2</f>
        <v>6</v>
      </c>
      <c r="D20" s="53">
        <f>ExitMultiple-1</f>
        <v>7</v>
      </c>
      <c r="E20" s="53">
        <f>ExitMultiple+0</f>
        <v>8</v>
      </c>
      <c r="F20" s="53">
        <f>ExitMultiple+1</f>
        <v>9</v>
      </c>
      <c r="G20" s="53">
        <f>ExitMultiple+2</f>
        <v>10</v>
      </c>
    </row>
    <row r="21" spans="2:7" x14ac:dyDescent="0.2">
      <c r="B21" s="50">
        <f>WACC-0.015</f>
        <v>8.0270238479180564E-2</v>
      </c>
      <c r="C21" s="51">
        <f ca="1">((SUMPRODUCT(DCF!$J$20:$S$20,(1+$B21)^-DCF!$J$21:$S$21)+DCF!$S$24*C$20*(1+$B21)^-N_End+Tax!$S$15/DTAYears*(1-(1+$B21)^-DTAYears)/$B21*(1+$B21)^-N_End)-DebtFace+CashJun-UTP*UTPPct)*(1+Ke)^RollFwd/SharesDil</f>
        <v>183.76582986135548</v>
      </c>
      <c r="D21" s="51">
        <f ca="1">((SUMPRODUCT(DCF!$J$20:$S$20,(1+$B21)^-DCF!$J$21:$S$21)+DCF!$S$24*D$20*(1+$B21)^-N_End+Tax!$S$15/DTAYears*(1-(1+$B21)^-DTAYears)/$B21*(1+$B21)^-N_End)-DebtFace+CashJun-UTP*UTPPct)*(1+Ke)^RollFwd/SharesDil</f>
        <v>198.12764208768917</v>
      </c>
      <c r="E21" s="51">
        <f ca="1">((SUMPRODUCT(DCF!$J$20:$S$20,(1+$B21)^-DCF!$J$21:$S$21)+DCF!$S$24*E$20*(1+$B21)^-N_End+Tax!$S$15/DTAYears*(1-(1+$B21)^-DTAYears)/$B21*(1+$B21)^-N_End)-DebtFace+CashJun-UTP*UTPPct)*(1+Ke)^RollFwd/SharesDil</f>
        <v>212.48945431402285</v>
      </c>
      <c r="F21" s="51">
        <f ca="1">((SUMPRODUCT(DCF!$J$20:$S$20,(1+$B21)^-DCF!$J$21:$S$21)+DCF!$S$24*F$20*(1+$B21)^-N_End+Tax!$S$15/DTAYears*(1-(1+$B21)^-DTAYears)/$B21*(1+$B21)^-N_End)-DebtFace+CashJun-UTP*UTPPct)*(1+Ke)^RollFwd/SharesDil</f>
        <v>226.85126654035659</v>
      </c>
      <c r="G21" s="51">
        <f ca="1">((SUMPRODUCT(DCF!$J$20:$S$20,(1+$B21)^-DCF!$J$21:$S$21)+DCF!$S$24*G$20*(1+$B21)^-N_End+Tax!$S$15/DTAYears*(1-(1+$B21)^-DTAYears)/$B21*(1+$B21)^-N_End)-DebtFace+CashJun-UTP*UTPPct)*(1+Ke)^RollFwd/SharesDil</f>
        <v>241.21307876669027</v>
      </c>
    </row>
    <row r="22" spans="2:7" x14ac:dyDescent="0.2">
      <c r="B22" s="50">
        <f>WACC-0.01</f>
        <v>8.5270238479180568E-2</v>
      </c>
      <c r="C22" s="51">
        <f ca="1">((SUMPRODUCT(DCF!$J$20:$S$20,(1+$B22)^-DCF!$J$21:$S$21)+DCF!$S$24*C$20*(1+$B22)^-N_End+Tax!$S$15/DTAYears*(1-(1+$B22)^-DTAYears)/$B22*(1+$B22)^-N_End)-DebtFace+CashJun-UTP*UTPPct)*(1+Ke)^RollFwd/SharesDil</f>
        <v>177.19824110049743</v>
      </c>
      <c r="D22" s="51">
        <f ca="1">((SUMPRODUCT(DCF!$J$20:$S$20,(1+$B22)^-DCF!$J$21:$S$21)+DCF!$S$24*D$20*(1+$B22)^-N_End+Tax!$S$15/DTAYears*(1-(1+$B22)^-DTAYears)/$B22*(1+$B22)^-N_End)-DebtFace+CashJun-UTP*UTPPct)*(1+Ke)^RollFwd/SharesDil</f>
        <v>190.94363420823109</v>
      </c>
      <c r="E22" s="51">
        <f ca="1">((SUMPRODUCT(DCF!$J$20:$S$20,(1+$B22)^-DCF!$J$21:$S$21)+DCF!$S$24*E$20*(1+$B22)^-N_End+Tax!$S$15/DTAYears*(1-(1+$B22)^-DTAYears)/$B22*(1+$B22)^-N_End)-DebtFace+CashJun-UTP*UTPPct)*(1+Ke)^RollFwd/SharesDil</f>
        <v>204.68902731596478</v>
      </c>
      <c r="F22" s="51">
        <f ca="1">((SUMPRODUCT(DCF!$J$20:$S$20,(1+$B22)^-DCF!$J$21:$S$21)+DCF!$S$24*F$20*(1+$B22)^-N_End+Tax!$S$15/DTAYears*(1-(1+$B22)^-DTAYears)/$B22*(1+$B22)^-N_End)-DebtFace+CashJun-UTP*UTPPct)*(1+Ke)^RollFwd/SharesDil</f>
        <v>218.43442042369838</v>
      </c>
      <c r="G22" s="51">
        <f ca="1">((SUMPRODUCT(DCF!$J$20:$S$20,(1+$B22)^-DCF!$J$21:$S$21)+DCF!$S$24*G$20*(1+$B22)^-N_End+Tax!$S$15/DTAYears*(1-(1+$B22)^-DTAYears)/$B22*(1+$B22)^-N_End)-DebtFace+CashJun-UTP*UTPPct)*(1+Ke)^RollFwd/SharesDil</f>
        <v>232.17981353143205</v>
      </c>
    </row>
    <row r="23" spans="2:7" x14ac:dyDescent="0.2">
      <c r="B23" s="50">
        <f>WACC-0.005</f>
        <v>9.0270238479180559E-2</v>
      </c>
      <c r="C23" s="51">
        <f ca="1">((SUMPRODUCT(DCF!$J$20:$S$20,(1+$B23)^-DCF!$J$21:$S$21)+DCF!$S$24*C$20*(1+$B23)^-N_End+Tax!$S$15/DTAYears*(1-(1+$B23)^-DTAYears)/$B23*(1+$B23)^-N_End)-DebtFace+CashJun-UTP*UTPPct)*(1+Ke)^RollFwd/SharesDil</f>
        <v>170.90570713366634</v>
      </c>
      <c r="D23" s="51">
        <f ca="1">((SUMPRODUCT(DCF!$J$20:$S$20,(1+$B23)^-DCF!$J$21:$S$21)+DCF!$S$24*D$20*(1+$B23)^-N_End+Tax!$S$15/DTAYears*(1-(1+$B23)^-DTAYears)/$B23*(1+$B23)^-N_End)-DebtFace+CashJun-UTP*UTPPct)*(1+Ke)^RollFwd/SharesDil</f>
        <v>184.06379129129297</v>
      </c>
      <c r="E23" s="51">
        <f ca="1">((SUMPRODUCT(DCF!$J$20:$S$20,(1+$B23)^-DCF!$J$21:$S$21)+DCF!$S$24*E$20*(1+$B23)^-N_End+Tax!$S$15/DTAYears*(1-(1+$B23)^-DTAYears)/$B23*(1+$B23)^-N_End)-DebtFace+CashJun-UTP*UTPPct)*(1+Ke)^RollFwd/SharesDil</f>
        <v>197.22187544891955</v>
      </c>
      <c r="F23" s="51">
        <f ca="1">((SUMPRODUCT(DCF!$J$20:$S$20,(1+$B23)^-DCF!$J$21:$S$21)+DCF!$S$24*F$20*(1+$B23)^-N_End+Tax!$S$15/DTAYears*(1-(1+$B23)^-DTAYears)/$B23*(1+$B23)^-N_End)-DebtFace+CashJun-UTP*UTPPct)*(1+Ke)^RollFwd/SharesDil</f>
        <v>210.37995960654612</v>
      </c>
      <c r="G23" s="51">
        <f ca="1">((SUMPRODUCT(DCF!$J$20:$S$20,(1+$B23)^-DCF!$J$21:$S$21)+DCF!$S$24*G$20*(1+$B23)^-N_End+Tax!$S$15/DTAYears*(1-(1+$B23)^-DTAYears)/$B23*(1+$B23)^-N_End)-DebtFace+CashJun-UTP*UTPPct)*(1+Ke)^RollFwd/SharesDil</f>
        <v>223.53804376417276</v>
      </c>
    </row>
    <row r="24" spans="2:7" x14ac:dyDescent="0.2">
      <c r="B24" s="50">
        <f>WACC+0</f>
        <v>9.5270238479180563E-2</v>
      </c>
      <c r="C24" s="51">
        <f ca="1">((SUMPRODUCT(DCF!$J$20:$S$20,(1+$B24)^-DCF!$J$21:$S$21)+DCF!$S$24*C$20*(1+$B24)^-N_End+Tax!$S$15/DTAYears*(1-(1+$B24)^-DTAYears)/$B24*(1+$B24)^-N_End)-DebtFace+CashJun-UTP*UTPPct)*(1+Ke)^RollFwd/SharesDil</f>
        <v>164.87468346476814</v>
      </c>
      <c r="D24" s="51">
        <f ca="1">((SUMPRODUCT(DCF!$J$20:$S$20,(1+$B24)^-DCF!$J$21:$S$21)+DCF!$S$24*D$20*(1+$B24)^-N_End+Tax!$S$15/DTAYears*(1-(1+$B24)^-DTAYears)/$B24*(1+$B24)^-N_End)-DebtFace+CashJun-UTP*UTPPct)*(1+Ke)^RollFwd/SharesDil</f>
        <v>177.47306996094159</v>
      </c>
      <c r="E24" s="52">
        <f ca="1">((SUMPRODUCT(DCF!$J$20:$S$20,(1+$B24)^-DCF!$J$21:$S$21)+DCF!$S$24*E$20*(1+$B24)^-N_End+Tax!$S$15/DTAYears*(1-(1+$B24)^-DTAYears)/$B24*(1+$B24)^-N_End)-DebtFace+CashJun-UTP*UTPPct)*(1+Ke)^RollFwd/SharesDil</f>
        <v>190.071456457115</v>
      </c>
      <c r="F24" s="51">
        <f ca="1">((SUMPRODUCT(DCF!$J$20:$S$20,(1+$B24)^-DCF!$J$21:$S$21)+DCF!$S$24*F$20*(1+$B24)^-N_End+Tax!$S$15/DTAYears*(1-(1+$B24)^-DTAYears)/$B24*(1+$B24)^-N_End)-DebtFace+CashJun-UTP*UTPPct)*(1+Ke)^RollFwd/SharesDil</f>
        <v>202.66984295328845</v>
      </c>
      <c r="G24" s="51">
        <f ca="1">((SUMPRODUCT(DCF!$J$20:$S$20,(1+$B24)^-DCF!$J$21:$S$21)+DCF!$S$24*G$20*(1+$B24)^-N_End+Tax!$S$15/DTAYears*(1-(1+$B24)^-DTAYears)/$B24*(1+$B24)^-N_End)-DebtFace+CashJun-UTP*UTPPct)*(1+Ke)^RollFwd/SharesDil</f>
        <v>215.26822944946187</v>
      </c>
    </row>
    <row r="25" spans="2:7" x14ac:dyDescent="0.2">
      <c r="B25" s="50">
        <f>WACC+0.005</f>
        <v>0.10027023847918057</v>
      </c>
      <c r="C25" s="51">
        <f ca="1">((SUMPRODUCT(DCF!$J$20:$S$20,(1+$B25)^-DCF!$J$21:$S$21)+DCF!$S$24*C$20*(1+$B25)^-N_End+Tax!$S$15/DTAYears*(1-(1+$B25)^-DTAYears)/$B25*(1+$B25)^-N_End)-DebtFace+CashJun-UTP*UTPPct)*(1+Ke)^RollFwd/SharesDil</f>
        <v>159.09237874643119</v>
      </c>
      <c r="D25" s="51">
        <f ca="1">((SUMPRODUCT(DCF!$J$20:$S$20,(1+$B25)^-DCF!$J$21:$S$21)+DCF!$S$24*D$20*(1+$B25)^-N_End+Tax!$S$15/DTAYears*(1-(1+$B25)^-DTAYears)/$B25*(1+$B25)^-N_End)-DebtFace+CashJun-UTP*UTPPct)*(1+Ke)^RollFwd/SharesDil</f>
        <v>171.15726350310726</v>
      </c>
      <c r="E25" s="51">
        <f ca="1">((SUMPRODUCT(DCF!$J$20:$S$20,(1+$B25)^-DCF!$J$21:$S$21)+DCF!$S$24*E$20*(1+$B25)^-N_End+Tax!$S$15/DTAYears*(1-(1+$B25)^-DTAYears)/$B25*(1+$B25)^-N_End)-DebtFace+CashJun-UTP*UTPPct)*(1+Ke)^RollFwd/SharesDil</f>
        <v>183.2221482597833</v>
      </c>
      <c r="F25" s="51">
        <f ca="1">((SUMPRODUCT(DCF!$J$20:$S$20,(1+$B25)^-DCF!$J$21:$S$21)+DCF!$S$24*F$20*(1+$B25)^-N_End+Tax!$S$15/DTAYears*(1-(1+$B25)^-DTAYears)/$B25*(1+$B25)^-N_End)-DebtFace+CashJun-UTP*UTPPct)*(1+Ke)^RollFwd/SharesDil</f>
        <v>195.28703301645933</v>
      </c>
      <c r="G25" s="51">
        <f ca="1">((SUMPRODUCT(DCF!$J$20:$S$20,(1+$B25)^-DCF!$J$21:$S$21)+DCF!$S$24*G$20*(1+$B25)^-N_End+Tax!$S$15/DTAYears*(1-(1+$B25)^-DTAYears)/$B25*(1+$B25)^-N_End)-DebtFace+CashJun-UTP*UTPPct)*(1+Ke)^RollFwd/SharesDil</f>
        <v>207.35191777313543</v>
      </c>
    </row>
    <row r="26" spans="2:7" x14ac:dyDescent="0.2">
      <c r="B26" s="50">
        <f>WACC+0.01</f>
        <v>0.10527023847918056</v>
      </c>
      <c r="C26" s="51">
        <f ca="1">((SUMPRODUCT(DCF!$J$20:$S$20,(1+$B26)^-DCF!$J$21:$S$21)+DCF!$S$24*C$20*(1+$B26)^-N_End+Tax!$S$15/DTAYears*(1-(1+$B26)^-DTAYears)/$B26*(1+$B26)^-N_End)-DebtFace+CashJun-UTP*UTPPct)*(1+Ke)^RollFwd/SharesDil</f>
        <v>153.54670822221183</v>
      </c>
      <c r="D26" s="51">
        <f ca="1">((SUMPRODUCT(DCF!$J$20:$S$20,(1+$B26)^-DCF!$J$21:$S$21)+DCF!$S$24*D$20*(1+$B26)^-N_End+Tax!$S$15/DTAYears*(1-(1+$B26)^-DTAYears)/$B26*(1+$B26)^-N_End)-DebtFace+CashJun-UTP*UTPPct)*(1+Ke)^RollFwd/SharesDil</f>
        <v>165.10295030480617</v>
      </c>
      <c r="E26" s="51">
        <f ca="1">((SUMPRODUCT(DCF!$J$20:$S$20,(1+$B26)^-DCF!$J$21:$S$21)+DCF!$S$24*E$20*(1+$B26)^-N_End+Tax!$S$15/DTAYears*(1-(1+$B26)^-DTAYears)/$B26*(1+$B26)^-N_End)-DebtFace+CashJun-UTP*UTPPct)*(1+Ke)^RollFwd/SharesDil</f>
        <v>176.65919238740051</v>
      </c>
      <c r="F26" s="51">
        <f ca="1">((SUMPRODUCT(DCF!$J$20:$S$20,(1+$B26)^-DCF!$J$21:$S$21)+DCF!$S$24*F$20*(1+$B26)^-N_End+Tax!$S$15/DTAYears*(1-(1+$B26)^-DTAYears)/$B26*(1+$B26)^-N_End)-DebtFace+CashJun-UTP*UTPPct)*(1+Ke)^RollFwd/SharesDil</f>
        <v>188.21543446999488</v>
      </c>
      <c r="G26" s="51">
        <f ca="1">((SUMPRODUCT(DCF!$J$20:$S$20,(1+$B26)^-DCF!$J$21:$S$21)+DCF!$S$24*G$20*(1+$B26)^-N_End+Tax!$S$15/DTAYears*(1-(1+$B26)^-DTAYears)/$B26*(1+$B26)^-N_End)-DebtFace+CashJun-UTP*UTPPct)*(1+Ke)^RollFwd/SharesDil</f>
        <v>199.77167655258924</v>
      </c>
    </row>
    <row r="27" spans="2:7" x14ac:dyDescent="0.2">
      <c r="B27" s="50">
        <f>WACC+0.015</f>
        <v>0.11027023847918056</v>
      </c>
      <c r="C27" s="51">
        <f ca="1">((SUMPRODUCT(DCF!$J$20:$S$20,(1+$B27)^-DCF!$J$21:$S$21)+DCF!$S$24*C$20*(1+$B27)^-N_End+Tax!$S$15/DTAYears*(1-(1+$B27)^-DTAYears)/$B27*(1+$B27)^-N_End)-DebtFace+CashJun-UTP*UTPPct)*(1+Ke)^RollFwd/SharesDil</f>
        <v>148.22625034471861</v>
      </c>
      <c r="D27" s="51">
        <f ca="1">((SUMPRODUCT(DCF!$J$20:$S$20,(1+$B27)^-DCF!$J$21:$S$21)+DCF!$S$24*D$20*(1+$B27)^-N_End+Tax!$S$15/DTAYears*(1-(1+$B27)^-DTAYears)/$B27*(1+$B27)^-N_End)-DebtFace+CashJun-UTP*UTPPct)*(1+Ke)^RollFwd/SharesDil</f>
        <v>159.29744578976769</v>
      </c>
      <c r="E27" s="51">
        <f ca="1">((SUMPRODUCT(DCF!$J$20:$S$20,(1+$B27)^-DCF!$J$21:$S$21)+DCF!$S$24*E$20*(1+$B27)^-N_End+Tax!$S$15/DTAYears*(1-(1+$B27)^-DTAYears)/$B27*(1+$B27)^-N_End)-DebtFace+CashJun-UTP*UTPPct)*(1+Ke)^RollFwd/SharesDil</f>
        <v>170.36864123481681</v>
      </c>
      <c r="F27" s="51">
        <f ca="1">((SUMPRODUCT(DCF!$J$20:$S$20,(1+$B27)^-DCF!$J$21:$S$21)+DCF!$S$24*F$20*(1+$B27)^-N_End+Tax!$S$15/DTAYears*(1-(1+$B27)^-DTAYears)/$B27*(1+$B27)^-N_End)-DebtFace+CashJun-UTP*UTPPct)*(1+Ke)^RollFwd/SharesDil</f>
        <v>181.43983667986592</v>
      </c>
      <c r="G27" s="51">
        <f ca="1">((SUMPRODUCT(DCF!$J$20:$S$20,(1+$B27)^-DCF!$J$21:$S$21)+DCF!$S$24*G$20*(1+$B27)^-N_End+Tax!$S$15/DTAYears*(1-(1+$B27)^-DTAYears)/$B27*(1+$B27)^-N_End)-DebtFace+CashJun-UTP*UTPPct)*(1+Ke)^RollFwd/SharesDil</f>
        <v>192.511032124915</v>
      </c>
    </row>
    <row r="30" spans="2:7" x14ac:dyDescent="0.2">
      <c r="B30" s="3" t="s">
        <v>831</v>
      </c>
    </row>
    <row r="31" spans="2:7" x14ac:dyDescent="0.2">
      <c r="B31" s="52">
        <f ca="1">ValuePerShare</f>
        <v>222.98831860580984</v>
      </c>
      <c r="C31" s="50">
        <v>-0.02</v>
      </c>
      <c r="D31" s="50">
        <v>-0.01</v>
      </c>
      <c r="E31" s="50">
        <v>0</v>
      </c>
      <c r="F31" s="50">
        <v>0.01</v>
      </c>
      <c r="G31" s="50">
        <v>0.02</v>
      </c>
    </row>
    <row r="32" spans="2:7" x14ac:dyDescent="0.2">
      <c r="B32" s="50">
        <v>-0.03</v>
      </c>
      <c r="C32" s="51">
        <f t="dataTable" ref="C32:G38" dt2D="1" dtr="1" r1="C6" r2="C5" ca="1"/>
        <v>157.45245519245304</v>
      </c>
      <c r="D32" s="51">
        <v>166.31030666470903</v>
      </c>
      <c r="E32" s="51">
        <v>175.16951370659248</v>
      </c>
      <c r="F32" s="51">
        <v>184.027692169304</v>
      </c>
      <c r="G32" s="51">
        <v>192.8858706320155</v>
      </c>
    </row>
    <row r="33" spans="2:7" x14ac:dyDescent="0.2">
      <c r="B33" s="50">
        <v>-0.02</v>
      </c>
      <c r="C33" s="51">
        <v>170.8486286570097</v>
      </c>
      <c r="D33" s="51">
        <v>180.3911378315652</v>
      </c>
      <c r="E33" s="51">
        <v>189.93276833377459</v>
      </c>
      <c r="F33" s="51">
        <v>199.47439883598392</v>
      </c>
      <c r="G33" s="51">
        <v>209.01602933819311</v>
      </c>
    </row>
    <row r="34" spans="2:7" x14ac:dyDescent="0.2">
      <c r="B34" s="50">
        <v>-0.01</v>
      </c>
      <c r="C34" s="51">
        <v>185.28267241524941</v>
      </c>
      <c r="D34" s="51">
        <v>195.56396703842245</v>
      </c>
      <c r="E34" s="51">
        <v>205.84420163794317</v>
      </c>
      <c r="F34" s="51">
        <v>216.12443623746387</v>
      </c>
      <c r="G34" s="51">
        <v>226.40467083698448</v>
      </c>
    </row>
    <row r="35" spans="2:7" x14ac:dyDescent="0.2">
      <c r="B35" s="50">
        <v>0</v>
      </c>
      <c r="C35" s="51">
        <v>200.83191630893629</v>
      </c>
      <c r="D35" s="51">
        <v>211.91011745737302</v>
      </c>
      <c r="E35" s="51">
        <v>222.98831860580984</v>
      </c>
      <c r="F35" s="51">
        <v>234.06651975424472</v>
      </c>
      <c r="G35" s="51">
        <v>245.14472090268148</v>
      </c>
    </row>
    <row r="36" spans="2:7" x14ac:dyDescent="0.2">
      <c r="B36" s="50">
        <v>0.01</v>
      </c>
      <c r="C36" s="51">
        <v>217.57513172905112</v>
      </c>
      <c r="D36" s="51">
        <v>229.51515955326153</v>
      </c>
      <c r="E36" s="51">
        <v>241.45518737747372</v>
      </c>
      <c r="F36" s="51">
        <v>253.39521520168583</v>
      </c>
      <c r="G36" s="51">
        <v>265.33524302589797</v>
      </c>
    </row>
    <row r="37" spans="2:7" x14ac:dyDescent="0.2">
      <c r="B37" s="50">
        <v>0.02</v>
      </c>
      <c r="C37" s="51">
        <v>235.59972222826158</v>
      </c>
      <c r="D37" s="51">
        <v>248.47023870890527</v>
      </c>
      <c r="E37" s="51">
        <v>261.34075518954899</v>
      </c>
      <c r="F37" s="51">
        <v>274.21127167019273</v>
      </c>
      <c r="G37" s="51">
        <v>287.08178815083647</v>
      </c>
    </row>
    <row r="38" spans="2:7" x14ac:dyDescent="0.2">
      <c r="B38" s="50">
        <v>0.03</v>
      </c>
      <c r="C38" s="51">
        <v>254.99759751577466</v>
      </c>
      <c r="D38" s="51">
        <v>268.87238839034865</v>
      </c>
      <c r="E38" s="51">
        <v>282.74717926492258</v>
      </c>
      <c r="F38" s="51">
        <v>296.62197013949657</v>
      </c>
      <c r="G38" s="51">
        <v>310.4967610140705</v>
      </c>
    </row>
    <row r="40" spans="2:7" x14ac:dyDescent="0.2">
      <c r="B40" s="3" t="s">
        <v>832</v>
      </c>
    </row>
    <row r="41" spans="2:7" x14ac:dyDescent="0.2">
      <c r="B41" s="3" t="s">
        <v>65</v>
      </c>
      <c r="C41" s="50">
        <v>0</v>
      </c>
      <c r="D41" s="50">
        <v>0.5</v>
      </c>
      <c r="E41" s="50">
        <v>1</v>
      </c>
    </row>
    <row r="42" spans="2:7" x14ac:dyDescent="0.2">
      <c r="B42" t="s">
        <v>833</v>
      </c>
      <c r="C42" s="51">
        <f ca="1">((SUMPRODUCT(DCF!$J$20:$S$20,(1+WACC)^-DCF!$J$21:$S$21)+FCFF_TV*(1+TG)/(WACC-TG)*(1+WACC)^-N_End+Tax!$S$15/DTAYears*(1-(1+WACC)^-DTAYears)/WACC*(1+WACC)^-N_End)-DebtFace+CashJun-UTP*$C$41)*(1+Ke)^RollFwd/SharesDil</f>
        <v>236.55026586100428</v>
      </c>
      <c r="D42" s="51">
        <f ca="1">((SUMPRODUCT(DCF!$J$20:$S$20,(1+WACC)^-DCF!$J$21:$S$21)+FCFF_TV*(1+TG)/(WACC-TG)*(1+WACC)^-N_End+Tax!$S$15/DTAYears*(1-(1+WACC)^-DTAYears)/WACC*(1+WACC)^-N_End)-DebtFace+CashJun-UTP*$D$41)*(1+Ke)^RollFwd/SharesDil</f>
        <v>229.76929223340704</v>
      </c>
      <c r="E42" s="51">
        <f ca="1">((SUMPRODUCT(DCF!$J$20:$S$20,(1+WACC)^-DCF!$J$21:$S$21)+FCFF_TV*(1+TG)/(WACC-TG)*(1+WACC)^-N_End+Tax!$S$15/DTAYears*(1-(1+WACC)^-DTAYears)/WACC*(1+WACC)^-N_End)-DebtFace+CashJun-UTP*$E$41)*(1+Ke)^RollFwd/SharesDil</f>
        <v>222.98831860580984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U40"/>
  <sheetViews>
    <sheetView showGridLines="0" zoomScale="90" zoomScaleNormal="90" workbookViewId="0"/>
  </sheetViews>
  <sheetFormatPr defaultRowHeight="12.75" x14ac:dyDescent="0.2"/>
  <cols>
    <col min="1" max="1" width="2.7109375" customWidth="1"/>
    <col min="2" max="2" width="40.7109375" customWidth="1"/>
    <col min="3" max="21" width="11.28515625" customWidth="1"/>
  </cols>
  <sheetData>
    <row r="1" spans="2:21" x14ac:dyDescent="0.2">
      <c r="B1" s="1" t="s">
        <v>540</v>
      </c>
    </row>
    <row r="2" spans="2:21" x14ac:dyDescent="0.2">
      <c r="B2" s="2" t="s">
        <v>1</v>
      </c>
    </row>
    <row r="5" spans="2:21" ht="30" customHeight="1" x14ac:dyDescent="0.2">
      <c r="B5" s="30" t="s">
        <v>834</v>
      </c>
      <c r="C5" s="30" t="s">
        <v>804</v>
      </c>
      <c r="D5" s="30" t="s">
        <v>835</v>
      </c>
      <c r="E5" s="30" t="s">
        <v>836</v>
      </c>
      <c r="F5" s="30" t="s">
        <v>837</v>
      </c>
      <c r="G5" s="30" t="s">
        <v>838</v>
      </c>
      <c r="H5" s="30" t="s">
        <v>839</v>
      </c>
      <c r="I5" s="30" t="s">
        <v>21</v>
      </c>
      <c r="J5" s="30" t="s">
        <v>840</v>
      </c>
      <c r="K5" s="30" t="s">
        <v>841</v>
      </c>
      <c r="L5" s="30" t="s">
        <v>842</v>
      </c>
      <c r="M5" s="30" t="s">
        <v>843</v>
      </c>
      <c r="N5" s="30" t="s">
        <v>844</v>
      </c>
      <c r="O5" s="30" t="s">
        <v>845</v>
      </c>
      <c r="P5" s="30" t="s">
        <v>846</v>
      </c>
      <c r="Q5" s="30" t="s">
        <v>847</v>
      </c>
      <c r="R5" s="30" t="s">
        <v>848</v>
      </c>
      <c r="S5" s="30" t="s">
        <v>849</v>
      </c>
      <c r="T5" s="30" t="s">
        <v>850</v>
      </c>
      <c r="U5" s="30" t="s">
        <v>851</v>
      </c>
    </row>
    <row r="6" spans="2:21" x14ac:dyDescent="0.2">
      <c r="B6" s="1" t="s">
        <v>852</v>
      </c>
      <c r="C6" s="1" t="s">
        <v>811</v>
      </c>
      <c r="D6" s="1" t="s">
        <v>853</v>
      </c>
      <c r="E6" s="54">
        <v>5683.8891999999996</v>
      </c>
      <c r="F6" s="54">
        <v>1230.885</v>
      </c>
      <c r="G6" s="54">
        <v>382.964</v>
      </c>
      <c r="H6" s="54">
        <v>130.35400000000001</v>
      </c>
      <c r="I6" s="54">
        <v>4054.8658999999998</v>
      </c>
      <c r="J6" s="54">
        <v>926.53700000000003</v>
      </c>
      <c r="K6" s="54">
        <v>104.313</v>
      </c>
      <c r="L6" s="33">
        <v>10.5191</v>
      </c>
      <c r="M6" s="33">
        <v>7.9314999999999998</v>
      </c>
      <c r="N6" s="32">
        <v>2.41E-2</v>
      </c>
      <c r="O6" s="32">
        <v>0.24221000000000001</v>
      </c>
      <c r="P6" s="55">
        <f t="shared" ref="P6:P16" si="0">E6+F6+G6-H6</f>
        <v>7167.3841999999995</v>
      </c>
      <c r="Q6" s="55">
        <f t="shared" ref="Q6:Q16" si="1">J6+K6</f>
        <v>1030.8500000000001</v>
      </c>
      <c r="R6" s="31">
        <f t="shared" ref="R6:R16" si="2">P6/Q6</f>
        <v>6.9528876170150831</v>
      </c>
      <c r="S6" s="46">
        <f t="shared" ref="S6:S16" si="3">(E6+F6-H6)/J6</f>
        <v>7.322341363593682</v>
      </c>
      <c r="T6" s="31">
        <f t="shared" ref="T6:T16" si="4">P6/I6</f>
        <v>1.7676007978463604</v>
      </c>
      <c r="U6" s="24">
        <f t="shared" ref="U6:U16" si="5">Q6/I6</f>
        <v>0.25422542333644133</v>
      </c>
    </row>
    <row r="7" spans="2:21" x14ac:dyDescent="0.2">
      <c r="B7" t="s">
        <v>854</v>
      </c>
      <c r="C7" t="s">
        <v>811</v>
      </c>
      <c r="D7" t="s">
        <v>853</v>
      </c>
      <c r="E7" s="54">
        <v>10638.5265</v>
      </c>
      <c r="F7" s="54">
        <v>0</v>
      </c>
      <c r="G7" s="54">
        <v>375.19400000000002</v>
      </c>
      <c r="H7" s="54">
        <v>1907.249</v>
      </c>
      <c r="I7" s="54">
        <v>5527.2888000000003</v>
      </c>
      <c r="J7" s="54">
        <v>1326.9789000000001</v>
      </c>
      <c r="K7" s="54">
        <v>88.921000000000006</v>
      </c>
      <c r="L7" s="33">
        <v>11.112399999999999</v>
      </c>
      <c r="M7" s="33">
        <v>9.3831000000000007</v>
      </c>
      <c r="N7" s="32">
        <v>7.2300000000000003E-2</v>
      </c>
      <c r="O7" s="32">
        <v>0.15232999999999999</v>
      </c>
      <c r="P7" s="55">
        <f t="shared" si="0"/>
        <v>9106.4714999999997</v>
      </c>
      <c r="Q7" s="55">
        <f t="shared" si="1"/>
        <v>1415.8999000000001</v>
      </c>
      <c r="R7" s="31">
        <f t="shared" si="2"/>
        <v>6.4315786024139125</v>
      </c>
      <c r="S7" s="46">
        <f t="shared" si="3"/>
        <v>6.5798163783915475</v>
      </c>
      <c r="T7" s="31">
        <f t="shared" si="4"/>
        <v>1.6475476186444247</v>
      </c>
      <c r="U7" s="24">
        <f t="shared" si="5"/>
        <v>0.25616535542705859</v>
      </c>
    </row>
    <row r="8" spans="2:21" x14ac:dyDescent="0.2">
      <c r="B8" t="s">
        <v>855</v>
      </c>
      <c r="C8" t="s">
        <v>811</v>
      </c>
      <c r="D8" t="s">
        <v>853</v>
      </c>
      <c r="E8" s="54">
        <v>3266.9913999999999</v>
      </c>
      <c r="F8" s="54">
        <v>234.166</v>
      </c>
      <c r="G8" s="54">
        <v>251.97200000000001</v>
      </c>
      <c r="H8" s="54">
        <v>112.423</v>
      </c>
      <c r="I8" s="54">
        <v>2740.5360999999998</v>
      </c>
      <c r="J8" s="54">
        <v>277.48399999999998</v>
      </c>
      <c r="K8" s="54">
        <v>65.152000000000001</v>
      </c>
      <c r="L8" s="33">
        <v>22.322500000000002</v>
      </c>
      <c r="M8" s="33">
        <v>16.072700000000001</v>
      </c>
      <c r="N8" s="32">
        <v>8.1900000000000001E-2</v>
      </c>
      <c r="O8" s="32">
        <v>6.6860000000000003E-2</v>
      </c>
      <c r="P8" s="55">
        <f t="shared" si="0"/>
        <v>3640.7064</v>
      </c>
      <c r="Q8" s="55">
        <f t="shared" si="1"/>
        <v>342.63599999999997</v>
      </c>
      <c r="R8" s="31">
        <f t="shared" si="2"/>
        <v>10.625580499422128</v>
      </c>
      <c r="S8" s="46">
        <f t="shared" si="3"/>
        <v>12.212359631546326</v>
      </c>
      <c r="T8" s="31">
        <f t="shared" si="4"/>
        <v>1.328465040106569</v>
      </c>
      <c r="U8" s="24">
        <f t="shared" si="5"/>
        <v>0.12502517299443711</v>
      </c>
    </row>
    <row r="9" spans="2:21" x14ac:dyDescent="0.2">
      <c r="B9" t="s">
        <v>856</v>
      </c>
      <c r="C9" t="s">
        <v>811</v>
      </c>
      <c r="D9" t="s">
        <v>853</v>
      </c>
      <c r="E9" s="54">
        <v>1559.2603999999999</v>
      </c>
      <c r="F9" s="54">
        <v>621.70000000000005</v>
      </c>
      <c r="G9" s="54">
        <v>140.30000000000001</v>
      </c>
      <c r="H9" s="54">
        <v>206.3</v>
      </c>
      <c r="I9" s="54">
        <v>1951.8000999999999</v>
      </c>
      <c r="J9" s="54">
        <v>198</v>
      </c>
      <c r="K9" s="54">
        <v>31.3</v>
      </c>
      <c r="L9" s="33">
        <v>14.7287</v>
      </c>
      <c r="M9" s="33">
        <v>10.2705</v>
      </c>
      <c r="N9" s="32">
        <v>5.8299999999999998E-2</v>
      </c>
      <c r="O9" s="32">
        <v>9.8540000000000003E-2</v>
      </c>
      <c r="P9" s="55">
        <f t="shared" si="0"/>
        <v>2114.9603999999999</v>
      </c>
      <c r="Q9" s="55">
        <f t="shared" si="1"/>
        <v>229.3</v>
      </c>
      <c r="R9" s="31">
        <f t="shared" si="2"/>
        <v>9.2235516790231138</v>
      </c>
      <c r="S9" s="46">
        <f t="shared" si="3"/>
        <v>9.9730323232323226</v>
      </c>
      <c r="T9" s="31">
        <f t="shared" si="4"/>
        <v>1.083594780018712</v>
      </c>
      <c r="U9" s="24">
        <f t="shared" si="5"/>
        <v>0.11748129329432866</v>
      </c>
    </row>
    <row r="10" spans="2:21" x14ac:dyDescent="0.2">
      <c r="B10" t="s">
        <v>857</v>
      </c>
      <c r="C10" t="s">
        <v>816</v>
      </c>
      <c r="D10" t="s">
        <v>858</v>
      </c>
      <c r="E10" s="54">
        <v>5335.8555999999999</v>
      </c>
      <c r="F10" s="54">
        <v>1266.1659</v>
      </c>
      <c r="G10" s="54">
        <v>218.77860000000001</v>
      </c>
      <c r="H10" s="54">
        <v>386.50940000000003</v>
      </c>
      <c r="I10" s="54">
        <v>2569.8560000000002</v>
      </c>
      <c r="J10" s="54">
        <v>734.39099999999996</v>
      </c>
      <c r="K10" s="54">
        <v>0</v>
      </c>
      <c r="L10" s="33">
        <v>15.8401</v>
      </c>
      <c r="M10" s="33">
        <v>11.6858</v>
      </c>
      <c r="N10" s="32">
        <v>0.13780000000000001</v>
      </c>
      <c r="O10" s="32">
        <v>0.28972999999999999</v>
      </c>
      <c r="P10" s="55">
        <f t="shared" si="0"/>
        <v>6434.2906999999996</v>
      </c>
      <c r="Q10" s="55">
        <f t="shared" si="1"/>
        <v>734.39099999999996</v>
      </c>
      <c r="R10" s="31">
        <f t="shared" si="2"/>
        <v>8.7613964495752263</v>
      </c>
      <c r="S10" s="46">
        <f t="shared" si="3"/>
        <v>8.4634916549903263</v>
      </c>
      <c r="T10" s="31">
        <f t="shared" si="4"/>
        <v>2.5037553466030777</v>
      </c>
      <c r="U10" s="24">
        <f t="shared" si="5"/>
        <v>0.28577126500473177</v>
      </c>
    </row>
    <row r="11" spans="2:21" x14ac:dyDescent="0.2">
      <c r="B11" t="s">
        <v>859</v>
      </c>
      <c r="C11" t="s">
        <v>816</v>
      </c>
      <c r="D11" t="s">
        <v>858</v>
      </c>
      <c r="E11" s="54">
        <v>9864.3466000000008</v>
      </c>
      <c r="F11" s="54">
        <v>0</v>
      </c>
      <c r="G11" s="54">
        <v>624.37139999999999</v>
      </c>
      <c r="H11" s="54">
        <v>1290.8864000000001</v>
      </c>
      <c r="I11" s="54">
        <v>3855.6581999999999</v>
      </c>
      <c r="J11" s="54">
        <v>587.13660000000004</v>
      </c>
      <c r="K11" s="54">
        <v>0</v>
      </c>
      <c r="L11" s="33">
        <v>20.7852</v>
      </c>
      <c r="M11" s="33">
        <v>14.414</v>
      </c>
      <c r="N11" s="32">
        <v>0.18859999999999999</v>
      </c>
      <c r="O11" s="32">
        <v>0.14019000000000001</v>
      </c>
      <c r="P11" s="55">
        <f t="shared" si="0"/>
        <v>9197.8316000000013</v>
      </c>
      <c r="Q11" s="55">
        <f t="shared" si="1"/>
        <v>587.13660000000004</v>
      </c>
      <c r="R11" s="31">
        <f t="shared" si="2"/>
        <v>15.665573564993224</v>
      </c>
      <c r="S11" s="46">
        <f t="shared" si="3"/>
        <v>14.60215595484935</v>
      </c>
      <c r="T11" s="31">
        <f t="shared" si="4"/>
        <v>2.3855412287323605</v>
      </c>
      <c r="U11" s="24">
        <f t="shared" si="5"/>
        <v>0.15227921396144503</v>
      </c>
    </row>
    <row r="12" spans="2:21" x14ac:dyDescent="0.2">
      <c r="B12" t="s">
        <v>860</v>
      </c>
      <c r="C12" t="s">
        <v>819</v>
      </c>
      <c r="D12" t="s">
        <v>858</v>
      </c>
      <c r="E12" s="54">
        <v>889.91189999999995</v>
      </c>
      <c r="F12" s="54">
        <v>331.1891</v>
      </c>
      <c r="G12" s="54">
        <v>190.72880000000001</v>
      </c>
      <c r="H12" s="54">
        <v>239.1405</v>
      </c>
      <c r="I12" s="54">
        <v>1014.5235</v>
      </c>
      <c r="J12" s="54">
        <v>113.66800000000001</v>
      </c>
      <c r="K12" s="54">
        <v>0</v>
      </c>
      <c r="L12" s="33">
        <v>35.049999999999997</v>
      </c>
      <c r="M12" s="33">
        <v>11.5372</v>
      </c>
      <c r="N12" s="32">
        <v>4.87E-2</v>
      </c>
      <c r="O12" s="32">
        <v>0.15647</v>
      </c>
      <c r="P12" s="55">
        <f t="shared" si="0"/>
        <v>1172.6893</v>
      </c>
      <c r="Q12" s="55">
        <f t="shared" si="1"/>
        <v>113.66800000000001</v>
      </c>
      <c r="R12" s="31">
        <f t="shared" si="2"/>
        <v>10.316793644649328</v>
      </c>
      <c r="S12" s="46">
        <f t="shared" si="3"/>
        <v>8.6388473448991796</v>
      </c>
      <c r="T12" s="31">
        <f t="shared" si="4"/>
        <v>1.1559015636404677</v>
      </c>
      <c r="U12" s="24">
        <f t="shared" si="5"/>
        <v>0.11204077579277366</v>
      </c>
    </row>
    <row r="13" spans="2:21" x14ac:dyDescent="0.2">
      <c r="B13" t="s">
        <v>861</v>
      </c>
      <c r="C13" t="s">
        <v>822</v>
      </c>
      <c r="D13" t="s">
        <v>862</v>
      </c>
      <c r="E13" s="54">
        <v>2394.6457</v>
      </c>
      <c r="F13" s="54">
        <v>0</v>
      </c>
      <c r="G13" s="54">
        <v>163.8708</v>
      </c>
      <c r="H13" s="54">
        <v>80.640799999999999</v>
      </c>
      <c r="I13" s="54">
        <v>308.46899999999999</v>
      </c>
      <c r="J13" s="54">
        <v>97.547200000000004</v>
      </c>
      <c r="K13" s="54">
        <v>0</v>
      </c>
      <c r="L13" s="33">
        <v>56.455399999999997</v>
      </c>
      <c r="M13" s="33">
        <v>40.571199999999997</v>
      </c>
      <c r="N13" s="32">
        <v>0.1623</v>
      </c>
      <c r="O13" s="32">
        <v>0.18002000000000001</v>
      </c>
      <c r="P13" s="55">
        <f t="shared" si="0"/>
        <v>2477.8757000000001</v>
      </c>
      <c r="Q13" s="55">
        <f t="shared" si="1"/>
        <v>97.547200000000004</v>
      </c>
      <c r="R13" s="31">
        <f t="shared" si="2"/>
        <v>25.401812660947726</v>
      </c>
      <c r="S13" s="46">
        <f t="shared" si="3"/>
        <v>23.721899757245723</v>
      </c>
      <c r="T13" s="31">
        <f t="shared" si="4"/>
        <v>8.0328191811819014</v>
      </c>
      <c r="U13" s="24">
        <f t="shared" si="5"/>
        <v>0.31623015602864474</v>
      </c>
    </row>
    <row r="14" spans="2:21" x14ac:dyDescent="0.2">
      <c r="B14" t="s">
        <v>863</v>
      </c>
      <c r="C14" t="s">
        <v>822</v>
      </c>
      <c r="D14" t="s">
        <v>862</v>
      </c>
      <c r="E14" s="54">
        <v>756.53229999999996</v>
      </c>
      <c r="F14" s="54">
        <v>0</v>
      </c>
      <c r="G14" s="54">
        <v>24.279900000000001</v>
      </c>
      <c r="H14" s="54">
        <v>21.510100000000001</v>
      </c>
      <c r="I14" s="54">
        <v>287.28030000000001</v>
      </c>
      <c r="J14" s="54">
        <v>41.367899999999999</v>
      </c>
      <c r="K14" s="54">
        <v>0</v>
      </c>
      <c r="L14" s="33">
        <v>39.0349</v>
      </c>
      <c r="M14" s="33">
        <v>29.2958</v>
      </c>
      <c r="N14" s="32">
        <v>9.4E-2</v>
      </c>
      <c r="O14" s="32">
        <v>9.6479999999999996E-2</v>
      </c>
      <c r="P14" s="55">
        <f t="shared" si="0"/>
        <v>759.3021</v>
      </c>
      <c r="Q14" s="55">
        <f t="shared" si="1"/>
        <v>41.367899999999999</v>
      </c>
      <c r="R14" s="31">
        <f t="shared" si="2"/>
        <v>18.354862103224963</v>
      </c>
      <c r="S14" s="46">
        <f t="shared" si="3"/>
        <v>17.767936008354305</v>
      </c>
      <c r="T14" s="31">
        <f t="shared" si="4"/>
        <v>2.6430705481719419</v>
      </c>
      <c r="U14" s="24">
        <f t="shared" si="5"/>
        <v>0.1439983876374398</v>
      </c>
    </row>
    <row r="15" spans="2:21" x14ac:dyDescent="0.2">
      <c r="B15" t="s">
        <v>864</v>
      </c>
      <c r="C15" t="s">
        <v>822</v>
      </c>
      <c r="D15" t="s">
        <v>862</v>
      </c>
      <c r="E15" s="54">
        <v>666.19809999999995</v>
      </c>
      <c r="F15" s="54">
        <v>3.7863000000000002</v>
      </c>
      <c r="G15" s="54">
        <v>20.8599</v>
      </c>
      <c r="H15" s="54">
        <v>13.4314</v>
      </c>
      <c r="I15" s="54">
        <v>189.5273</v>
      </c>
      <c r="J15" s="54">
        <v>26.339500000000001</v>
      </c>
      <c r="K15" s="54">
        <v>0</v>
      </c>
      <c r="L15" s="33">
        <v>41.4345</v>
      </c>
      <c r="M15" s="33">
        <v>30.5107</v>
      </c>
      <c r="N15" s="32">
        <v>0.12790000000000001</v>
      </c>
      <c r="O15" s="32">
        <v>8.3229999999999998E-2</v>
      </c>
      <c r="P15" s="55">
        <f t="shared" si="0"/>
        <v>677.41289999999992</v>
      </c>
      <c r="Q15" s="55">
        <f t="shared" si="1"/>
        <v>26.339500000000001</v>
      </c>
      <c r="R15" s="31">
        <f t="shared" si="2"/>
        <v>25.718517815448276</v>
      </c>
      <c r="S15" s="46">
        <f t="shared" si="3"/>
        <v>24.926555173788412</v>
      </c>
      <c r="T15" s="31">
        <f t="shared" si="4"/>
        <v>3.5742233440776077</v>
      </c>
      <c r="U15" s="24">
        <f t="shared" si="5"/>
        <v>0.13897470179757745</v>
      </c>
    </row>
    <row r="16" spans="2:21" x14ac:dyDescent="0.2">
      <c r="B16" t="s">
        <v>865</v>
      </c>
      <c r="C16" t="s">
        <v>822</v>
      </c>
      <c r="D16" t="s">
        <v>862</v>
      </c>
      <c r="E16" s="54">
        <v>829.95630000000006</v>
      </c>
      <c r="F16" s="54">
        <v>0</v>
      </c>
      <c r="G16" s="54">
        <v>144.70570000000001</v>
      </c>
      <c r="H16" s="54">
        <v>54.936999999999998</v>
      </c>
      <c r="I16" s="54">
        <v>370.75650000000002</v>
      </c>
      <c r="J16" s="54">
        <v>48.393099999999997</v>
      </c>
      <c r="K16" s="54">
        <v>0</v>
      </c>
      <c r="L16" s="33">
        <v>54.419499999999999</v>
      </c>
      <c r="M16" s="33">
        <v>29.044799999999999</v>
      </c>
      <c r="N16" s="32">
        <v>8.3400000000000002E-2</v>
      </c>
      <c r="O16" s="32">
        <v>0.10557</v>
      </c>
      <c r="P16" s="55">
        <f t="shared" si="0"/>
        <v>919.72500000000002</v>
      </c>
      <c r="Q16" s="55">
        <f t="shared" si="1"/>
        <v>48.393099999999997</v>
      </c>
      <c r="R16" s="31">
        <f t="shared" si="2"/>
        <v>19.005292076763013</v>
      </c>
      <c r="S16" s="46">
        <f t="shared" si="3"/>
        <v>16.015078595915536</v>
      </c>
      <c r="T16" s="31">
        <f t="shared" si="4"/>
        <v>2.4806712761610381</v>
      </c>
      <c r="U16" s="24">
        <f t="shared" si="5"/>
        <v>0.13052529085801595</v>
      </c>
    </row>
    <row r="18" spans="2:20" x14ac:dyDescent="0.2">
      <c r="B18" s="3" t="s">
        <v>866</v>
      </c>
    </row>
    <row r="19" spans="2:20" x14ac:dyDescent="0.2">
      <c r="B19" t="s">
        <v>867</v>
      </c>
      <c r="L19" s="31">
        <f>MEDIAN(L7,L8,L9)</f>
        <v>14.7287</v>
      </c>
      <c r="M19" s="31">
        <f>MEDIAN(M7,M8,M9)</f>
        <v>10.2705</v>
      </c>
      <c r="N19" s="24">
        <f>MEDIAN(N7,N8,N9)</f>
        <v>7.2300000000000003E-2</v>
      </c>
      <c r="O19" s="24">
        <f>MEDIAN(O7,O8,O9)</f>
        <v>9.8540000000000003E-2</v>
      </c>
      <c r="R19" s="31">
        <f>MEDIAN(R7,R8,R9)</f>
        <v>9.2235516790231138</v>
      </c>
      <c r="T19" s="31">
        <f>MEDIAN(T7,T8,T9)</f>
        <v>1.328465040106569</v>
      </c>
    </row>
    <row r="20" spans="2:20" x14ac:dyDescent="0.2">
      <c r="B20" t="s">
        <v>868</v>
      </c>
      <c r="L20" s="31">
        <f>MEDIAN(L10,L11)</f>
        <v>18.312649999999998</v>
      </c>
      <c r="M20" s="31">
        <f>MEDIAN(M10,M11)</f>
        <v>13.049900000000001</v>
      </c>
      <c r="N20" s="24">
        <f>MEDIAN(N10,N11)</f>
        <v>0.16320000000000001</v>
      </c>
      <c r="O20" s="24">
        <f>MEDIAN(O10,O11)</f>
        <v>0.21495999999999998</v>
      </c>
      <c r="R20" s="31">
        <f>MEDIAN(R10,R11)</f>
        <v>12.213485007284225</v>
      </c>
      <c r="T20" s="31">
        <f>MEDIAN(T10,T11)</f>
        <v>2.4446482876677189</v>
      </c>
    </row>
    <row r="21" spans="2:20" x14ac:dyDescent="0.2">
      <c r="B21" t="s">
        <v>869</v>
      </c>
      <c r="L21" s="31">
        <f>MEDIAN(L12)</f>
        <v>35.049999999999997</v>
      </c>
      <c r="M21" s="31">
        <f>MEDIAN(M12)</f>
        <v>11.5372</v>
      </c>
      <c r="N21" s="24">
        <f>MEDIAN(N12)</f>
        <v>4.87E-2</v>
      </c>
      <c r="O21" s="24">
        <f>MEDIAN(O12)</f>
        <v>0.15647</v>
      </c>
      <c r="R21" s="31">
        <f>MEDIAN(R12)</f>
        <v>10.316793644649328</v>
      </c>
      <c r="T21" s="31">
        <f>MEDIAN(T12)</f>
        <v>1.1559015636404677</v>
      </c>
    </row>
    <row r="22" spans="2:20" x14ac:dyDescent="0.2">
      <c r="B22" t="s">
        <v>870</v>
      </c>
      <c r="L22" s="31">
        <f>MEDIAN(L13,L14,L15,L16)</f>
        <v>47.927</v>
      </c>
      <c r="M22" s="31">
        <f>MEDIAN(M13,M14,M15,M16)</f>
        <v>29.90325</v>
      </c>
      <c r="N22" s="24">
        <f>MEDIAN(N13,N14,N15,N16)</f>
        <v>0.11095000000000001</v>
      </c>
      <c r="O22" s="24">
        <f>MEDIAN(O13,O14,O15,O16)</f>
        <v>0.101025</v>
      </c>
      <c r="R22" s="31">
        <f>MEDIAN(R13,R14,R15,R16)</f>
        <v>22.20355236885537</v>
      </c>
      <c r="T22" s="31">
        <f>MEDIAN(T13,T14,T15,T16)</f>
        <v>3.1086469461247748</v>
      </c>
    </row>
    <row r="23" spans="2:20" x14ac:dyDescent="0.2">
      <c r="B23" s="1" t="s">
        <v>871</v>
      </c>
      <c r="L23" s="31">
        <f>MEDIAN(L7,L8,L9,L10,L11,L12)</f>
        <v>18.312649999999998</v>
      </c>
      <c r="M23" s="31">
        <f>MEDIAN(M7,M8,M9,M10,M11,M12)</f>
        <v>11.611499999999999</v>
      </c>
      <c r="N23" s="24">
        <f>MEDIAN(N7,N8,N9,N10,N11,N12)</f>
        <v>7.7100000000000002E-2</v>
      </c>
      <c r="O23" s="24">
        <f>MEDIAN(O7,O8,O9,O10,O11,O12)</f>
        <v>0.14626</v>
      </c>
      <c r="R23" s="31">
        <f>MEDIAN(R7,R8,R9,R10,R11,R12)</f>
        <v>9.7701726618362201</v>
      </c>
      <c r="T23" s="31">
        <f>MEDIAN(T7,T8,T9,T10,T11,T12)</f>
        <v>1.4880063293754968</v>
      </c>
    </row>
    <row r="24" spans="2:20" x14ac:dyDescent="0.2">
      <c r="B24" s="1" t="s">
        <v>872</v>
      </c>
      <c r="L24" s="31">
        <f>_xlfn.PERCENTILE.INC((L7,L8,L9,L10,L11,L12),0.25)</f>
        <v>15.006550000000001</v>
      </c>
      <c r="M24" s="31">
        <f>_xlfn.PERCENTILE.INC((M7,M8,M9,M10,M11,M12),0.25)</f>
        <v>10.587175</v>
      </c>
      <c r="N24" s="24">
        <f>_xlfn.PERCENTILE.INC((N7,N8,N9,N10,N11,N12),0.25)</f>
        <v>6.1800000000000001E-2</v>
      </c>
      <c r="O24" s="24">
        <f>_xlfn.PERCENTILE.INC((O7,O8,O9,O10,O11,O12),0.25)</f>
        <v>0.10895250000000001</v>
      </c>
      <c r="R24" s="31">
        <f>_xlfn.PERCENTILE.INC((R7,R8,R9,R10,R11,R12),0.25)</f>
        <v>8.8769352569371982</v>
      </c>
      <c r="T24" s="31">
        <f>_xlfn.PERCENTILE.INC((T7,T8,T9,T10,T11,T12),0.25)</f>
        <v>1.1990424327569931</v>
      </c>
    </row>
    <row r="25" spans="2:20" x14ac:dyDescent="0.2">
      <c r="B25" s="1" t="s">
        <v>873</v>
      </c>
      <c r="L25" s="31">
        <f>_xlfn.PERCENTILE.INC((L7,L8,L9,L10,L11,L12),0.75)</f>
        <v>21.938175000000001</v>
      </c>
      <c r="M25" s="31">
        <f>_xlfn.PERCENTILE.INC((M7,M8,M9,M10,M11,M12),0.75)</f>
        <v>13.731949999999999</v>
      </c>
      <c r="N25" s="24">
        <f>_xlfn.PERCENTILE.INC((N7,N8,N9,N10,N11,N12),0.75)</f>
        <v>0.123825</v>
      </c>
      <c r="O25" s="24">
        <f>_xlfn.PERCENTILE.INC((O7,O8,O9,O10,O11,O12),0.75)</f>
        <v>0.15543499999999999</v>
      </c>
      <c r="R25" s="31">
        <f>_xlfn.PERCENTILE.INC((R7,R8,R9,R10,R11,R12),0.75)</f>
        <v>10.548383785728928</v>
      </c>
      <c r="T25" s="31">
        <f>_xlfn.PERCENTILE.INC((T7,T8,T9,T10,T11,T12),0.75)</f>
        <v>2.2010428262103767</v>
      </c>
    </row>
    <row r="26" spans="2:20" x14ac:dyDescent="0.2">
      <c r="B26" t="s">
        <v>874</v>
      </c>
      <c r="L26" s="31">
        <f>MEDIAN(L7,L8,L9,L10,L11,L12,L13,L14,L15,L16)</f>
        <v>28.686250000000001</v>
      </c>
      <c r="M26" s="31">
        <f>MEDIAN(M7,M8,M9,M10,M11,M12,M13,M14,M15,M16)</f>
        <v>15.24335</v>
      </c>
      <c r="N26" s="24">
        <f>MEDIAN(N7,N8,N9,N10,N11,N12,N13,N14,N15,N16)</f>
        <v>8.8700000000000001E-2</v>
      </c>
      <c r="O26" s="24">
        <f>MEDIAN(O7,O8,O9,O10,O11,O12,O13,O14,O15,O16)</f>
        <v>0.12288</v>
      </c>
      <c r="R26" s="31">
        <f>MEDIAN(R7,R8,R9,R10,R11,R12,R13,R14,R15,R16)</f>
        <v>13.145577032207676</v>
      </c>
      <c r="T26" s="31">
        <f>MEDIAN(T7,T8,T9,T10,T11,T12,T13,T14,T15,T16)</f>
        <v>2.4331062524466995</v>
      </c>
    </row>
    <row r="27" spans="2:20" x14ac:dyDescent="0.2">
      <c r="B27" s="1" t="s">
        <v>875</v>
      </c>
      <c r="L27" s="22">
        <f>L6</f>
        <v>10.5191</v>
      </c>
      <c r="M27" s="22">
        <f>M6</f>
        <v>7.9314999999999998</v>
      </c>
      <c r="N27" s="19">
        <f>N6</f>
        <v>2.41E-2</v>
      </c>
      <c r="O27" s="19">
        <f>O6</f>
        <v>0.24221000000000001</v>
      </c>
      <c r="R27" s="22">
        <f>R6</f>
        <v>6.9528876170150831</v>
      </c>
      <c r="T27" s="22">
        <f>T6</f>
        <v>1.7676007978463604</v>
      </c>
    </row>
    <row r="29" spans="2:20" x14ac:dyDescent="0.2">
      <c r="B29" s="3" t="s">
        <v>876</v>
      </c>
      <c r="D29" s="3" t="s">
        <v>879</v>
      </c>
      <c r="E29" s="3" t="s">
        <v>880</v>
      </c>
      <c r="F29" s="3" t="s">
        <v>881</v>
      </c>
    </row>
    <row r="30" spans="2:20" x14ac:dyDescent="0.2">
      <c r="B30" t="s">
        <v>877</v>
      </c>
      <c r="D30" s="27">
        <f>(R24*Q6-DebtFace-G6+CashJun-UTP*UTPPct)/SharesDil</f>
        <v>144.05875911911704</v>
      </c>
      <c r="E30" s="27">
        <f>(R23*Q6-DebtFace-G6+CashJun-UTP*UTPPct)/SharesDil</f>
        <v>163.10506750344129</v>
      </c>
      <c r="F30" s="27">
        <f>(R25*Q6-DebtFace-G6+CashJun-UTP*UTPPct)/SharesDil</f>
        <v>179.69869532565247</v>
      </c>
    </row>
    <row r="31" spans="2:20" x14ac:dyDescent="0.2">
      <c r="B31" t="s">
        <v>878</v>
      </c>
      <c r="D31" s="27">
        <f ca="1">M24*NTM_EPS</f>
        <v>173.61888207517038</v>
      </c>
      <c r="E31" s="27">
        <f ca="1">M23*NTM_EPS</f>
        <v>190.41676832732441</v>
      </c>
      <c r="F31" s="27">
        <f ca="1">M25*NTM_EPS</f>
        <v>225.18998767018923</v>
      </c>
    </row>
    <row r="33" spans="2:5" x14ac:dyDescent="0.2">
      <c r="B33" s="3" t="s">
        <v>882</v>
      </c>
      <c r="D33" s="3" t="s">
        <v>887</v>
      </c>
      <c r="E33" s="3" t="s">
        <v>888</v>
      </c>
    </row>
    <row r="34" spans="2:5" x14ac:dyDescent="0.2">
      <c r="B34" t="s">
        <v>883</v>
      </c>
      <c r="D34" s="34">
        <v>8.2898999999999994</v>
      </c>
      <c r="E34" s="28">
        <v>3.7446000000000002</v>
      </c>
    </row>
    <row r="35" spans="2:5" x14ac:dyDescent="0.2">
      <c r="B35" t="s">
        <v>884</v>
      </c>
      <c r="D35" s="34">
        <v>47.883299999999998</v>
      </c>
      <c r="E35" s="28">
        <v>30.7258</v>
      </c>
    </row>
    <row r="36" spans="2:5" x14ac:dyDescent="0.2">
      <c r="B36" t="s">
        <v>885</v>
      </c>
      <c r="D36" s="34">
        <v>-4.9908000000000001</v>
      </c>
      <c r="E36" s="28">
        <v>22.403199999999998</v>
      </c>
    </row>
    <row r="37" spans="2:5" x14ac:dyDescent="0.2">
      <c r="B37" t="s">
        <v>886</v>
      </c>
      <c r="D37" s="34">
        <v>19.0487</v>
      </c>
      <c r="E37" s="28">
        <v>2.6922000000000001</v>
      </c>
    </row>
    <row r="38" spans="2:5" x14ac:dyDescent="0.2">
      <c r="B38" t="s">
        <v>889</v>
      </c>
      <c r="D38" s="32">
        <v>0.92211399999999999</v>
      </c>
      <c r="E38" s="14">
        <v>10</v>
      </c>
    </row>
    <row r="39" spans="2:5" x14ac:dyDescent="0.2">
      <c r="B39" s="1" t="s">
        <v>890</v>
      </c>
      <c r="D39" s="31">
        <f>D34+D35*N6+D36*O6</f>
        <v>8.235065861999999</v>
      </c>
    </row>
    <row r="40" spans="2:5" x14ac:dyDescent="0.2">
      <c r="B40" t="s">
        <v>891</v>
      </c>
      <c r="D40" s="22">
        <f>M6</f>
        <v>7.9314999999999998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M19"/>
  <sheetViews>
    <sheetView showGridLines="0" zoomScale="90" zoomScaleNormal="90" workbookViewId="0"/>
  </sheetViews>
  <sheetFormatPr defaultRowHeight="12.75" x14ac:dyDescent="0.2"/>
  <cols>
    <col min="1" max="1" width="2.7109375" customWidth="1"/>
    <col min="2" max="2" width="11.7109375" customWidth="1"/>
    <col min="3" max="5" width="20.7109375" customWidth="1"/>
    <col min="6" max="11" width="10.7109375" customWidth="1"/>
    <col min="12" max="12" width="22.7109375" customWidth="1"/>
    <col min="13" max="13" width="80.7109375" customWidth="1"/>
    <col min="14" max="19" width="11.28515625" customWidth="1"/>
  </cols>
  <sheetData>
    <row r="1" spans="2:13" x14ac:dyDescent="0.2">
      <c r="B1" s="1" t="s">
        <v>541</v>
      </c>
    </row>
    <row r="2" spans="2:13" x14ac:dyDescent="0.2">
      <c r="B2" s="2" t="s">
        <v>1</v>
      </c>
    </row>
    <row r="5" spans="2:13" x14ac:dyDescent="0.2">
      <c r="B5" s="3" t="s">
        <v>892</v>
      </c>
      <c r="C5" s="3" t="s">
        <v>893</v>
      </c>
      <c r="D5" s="3" t="s">
        <v>894</v>
      </c>
      <c r="E5" s="3" t="s">
        <v>895</v>
      </c>
      <c r="F5" s="3" t="s">
        <v>896</v>
      </c>
      <c r="G5" s="3" t="s">
        <v>21</v>
      </c>
      <c r="H5" s="3" t="s">
        <v>28</v>
      </c>
      <c r="I5" s="3" t="s">
        <v>897</v>
      </c>
      <c r="J5" s="3" t="s">
        <v>898</v>
      </c>
      <c r="K5" s="3" t="s">
        <v>899</v>
      </c>
      <c r="L5" s="3" t="s">
        <v>900</v>
      </c>
      <c r="M5" s="3" t="s">
        <v>687</v>
      </c>
    </row>
    <row r="6" spans="2:13" x14ac:dyDescent="0.2">
      <c r="B6" t="s">
        <v>901</v>
      </c>
      <c r="C6" t="s">
        <v>902</v>
      </c>
      <c r="D6" t="s">
        <v>903</v>
      </c>
      <c r="E6" t="s">
        <v>904</v>
      </c>
      <c r="F6" s="54">
        <v>9400</v>
      </c>
      <c r="G6" s="54">
        <v>8970</v>
      </c>
      <c r="H6" s="54">
        <v>1142</v>
      </c>
      <c r="I6" s="31">
        <f t="shared" ref="I6:I11" si="0">IF(H6="","",F6/H6)</f>
        <v>8.2311733800350257</v>
      </c>
      <c r="J6" s="31">
        <f t="shared" ref="J6:J11" si="1">F6/G6</f>
        <v>1.0479375696767002</v>
      </c>
      <c r="K6" s="32">
        <v>0.3</v>
      </c>
      <c r="L6" s="2" t="s">
        <v>905</v>
      </c>
      <c r="M6" s="2" t="s">
        <v>906</v>
      </c>
    </row>
    <row r="7" spans="2:13" x14ac:dyDescent="0.2">
      <c r="B7" t="s">
        <v>907</v>
      </c>
      <c r="C7" t="s">
        <v>908</v>
      </c>
      <c r="D7" t="s">
        <v>909</v>
      </c>
      <c r="E7" t="s">
        <v>910</v>
      </c>
      <c r="F7" s="54">
        <v>900</v>
      </c>
      <c r="G7" s="54">
        <v>680</v>
      </c>
      <c r="H7" s="54">
        <v>80</v>
      </c>
      <c r="I7" s="31">
        <f t="shared" si="0"/>
        <v>11.25</v>
      </c>
      <c r="J7" s="31">
        <f t="shared" si="1"/>
        <v>1.3235294117647058</v>
      </c>
      <c r="L7" s="2" t="s">
        <v>911</v>
      </c>
      <c r="M7" s="2" t="s">
        <v>912</v>
      </c>
    </row>
    <row r="8" spans="2:13" x14ac:dyDescent="0.2">
      <c r="B8" t="s">
        <v>913</v>
      </c>
      <c r="C8" t="s">
        <v>875</v>
      </c>
      <c r="D8" t="s">
        <v>790</v>
      </c>
      <c r="E8" t="s">
        <v>910</v>
      </c>
      <c r="F8" s="54">
        <v>2500</v>
      </c>
      <c r="G8" s="54">
        <v>570</v>
      </c>
      <c r="H8" s="54">
        <v>200</v>
      </c>
      <c r="I8" s="31">
        <f t="shared" si="0"/>
        <v>12.5</v>
      </c>
      <c r="J8" s="31">
        <f t="shared" si="1"/>
        <v>4.3859649122807021</v>
      </c>
      <c r="L8" s="2" t="s">
        <v>914</v>
      </c>
      <c r="M8" s="2" t="s">
        <v>915</v>
      </c>
    </row>
    <row r="9" spans="2:13" x14ac:dyDescent="0.2">
      <c r="B9" t="s">
        <v>916</v>
      </c>
      <c r="C9" t="s">
        <v>917</v>
      </c>
      <c r="D9" t="s">
        <v>918</v>
      </c>
      <c r="E9" t="s">
        <v>910</v>
      </c>
      <c r="F9" s="54">
        <v>2100</v>
      </c>
      <c r="G9" s="54">
        <v>500</v>
      </c>
      <c r="H9" s="54">
        <v>141</v>
      </c>
      <c r="I9" s="31">
        <f t="shared" si="0"/>
        <v>14.893617021276595</v>
      </c>
      <c r="J9" s="31">
        <f t="shared" si="1"/>
        <v>4.2</v>
      </c>
      <c r="L9" s="2" t="s">
        <v>914</v>
      </c>
      <c r="M9" s="2" t="s">
        <v>919</v>
      </c>
    </row>
    <row r="10" spans="2:13" x14ac:dyDescent="0.2">
      <c r="B10" t="s">
        <v>920</v>
      </c>
      <c r="C10" t="s">
        <v>921</v>
      </c>
      <c r="D10" t="s">
        <v>815</v>
      </c>
      <c r="E10" t="s">
        <v>922</v>
      </c>
      <c r="F10" s="54">
        <v>4350</v>
      </c>
      <c r="G10" s="54">
        <v>795</v>
      </c>
      <c r="I10" s="31" t="str">
        <f t="shared" si="0"/>
        <v/>
      </c>
      <c r="J10" s="31">
        <f t="shared" si="1"/>
        <v>5.4716981132075473</v>
      </c>
      <c r="L10" s="2" t="s">
        <v>923</v>
      </c>
      <c r="M10" s="2" t="s">
        <v>924</v>
      </c>
    </row>
    <row r="11" spans="2:13" x14ac:dyDescent="0.2">
      <c r="B11" t="s">
        <v>925</v>
      </c>
      <c r="C11" t="s">
        <v>926</v>
      </c>
      <c r="D11" t="s">
        <v>927</v>
      </c>
      <c r="E11" t="s">
        <v>928</v>
      </c>
      <c r="F11" s="54">
        <v>2500</v>
      </c>
      <c r="G11" s="54">
        <v>1670</v>
      </c>
      <c r="I11" s="31" t="str">
        <f t="shared" si="0"/>
        <v/>
      </c>
      <c r="J11" s="31">
        <f t="shared" si="1"/>
        <v>1.4970059880239521</v>
      </c>
      <c r="L11" s="2" t="s">
        <v>929</v>
      </c>
      <c r="M11" s="2" t="s">
        <v>930</v>
      </c>
    </row>
    <row r="13" spans="2:13" x14ac:dyDescent="0.2">
      <c r="B13" s="3" t="s">
        <v>931</v>
      </c>
    </row>
    <row r="14" spans="2:13" x14ac:dyDescent="0.2">
      <c r="B14" t="s">
        <v>932</v>
      </c>
      <c r="I14" s="35">
        <v>925.43700000000001</v>
      </c>
      <c r="J14" s="3" t="s">
        <v>936</v>
      </c>
    </row>
    <row r="15" spans="2:13" x14ac:dyDescent="0.2">
      <c r="B15" t="s">
        <v>933</v>
      </c>
      <c r="I15" s="31">
        <f>_xlfn.PERCENTILE.INC(I6:I11,0.25)</f>
        <v>10.495293345008756</v>
      </c>
      <c r="J15" s="27">
        <f>(I15*LTM_EBITDA-DebtFace+CashJun-UTP*UTPPct)/SharesDil</f>
        <v>163.60386363274111</v>
      </c>
    </row>
    <row r="16" spans="2:13" x14ac:dyDescent="0.2">
      <c r="B16" t="s">
        <v>934</v>
      </c>
      <c r="I16" s="31">
        <f>_xlfn.PERCENTILE.INC(I6:I11,0.5)</f>
        <v>11.875</v>
      </c>
      <c r="J16" s="27">
        <f>(I16*LTM_EBITDA-DebtFace+CashJun-UTP*UTPPct)/SharesDil</f>
        <v>190.01469386699762</v>
      </c>
    </row>
    <row r="17" spans="2:11" x14ac:dyDescent="0.2">
      <c r="B17" t="s">
        <v>935</v>
      </c>
      <c r="I17" s="31">
        <f>_xlfn.PERCENTILE.INC(I6:I11,0.75)</f>
        <v>13.098404255319149</v>
      </c>
      <c r="J17" s="27">
        <f>(I17*LTM_EBITDA-DebtFace+CashJun-UTP*UTPPct)/SharesDil</f>
        <v>213.43352857234021</v>
      </c>
    </row>
    <row r="18" spans="2:11" x14ac:dyDescent="0.2">
      <c r="B18" t="s">
        <v>937</v>
      </c>
      <c r="K18" s="24">
        <f>MEDIAN(K6:K11)</f>
        <v>0.3</v>
      </c>
    </row>
    <row r="19" spans="2:11" x14ac:dyDescent="0.2">
      <c r="B19" s="2" t="s">
        <v>938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G59"/>
  <sheetViews>
    <sheetView showGridLines="0" zoomScale="90" zoomScaleNormal="90" workbookViewId="0"/>
  </sheetViews>
  <sheetFormatPr defaultRowHeight="12.75" x14ac:dyDescent="0.2"/>
  <cols>
    <col min="1" max="1" width="2.7109375" customWidth="1"/>
    <col min="2" max="2" width="52.7109375" customWidth="1"/>
    <col min="3" max="3" width="14.7109375" customWidth="1"/>
    <col min="4" max="4" width="50.7109375" customWidth="1"/>
    <col min="5" max="19" width="11.28515625" customWidth="1"/>
  </cols>
  <sheetData>
    <row r="1" spans="2:4" x14ac:dyDescent="0.2">
      <c r="B1" s="1" t="s">
        <v>542</v>
      </c>
    </row>
    <row r="2" spans="2:4" x14ac:dyDescent="0.2">
      <c r="B2" s="2" t="s">
        <v>1</v>
      </c>
    </row>
    <row r="4" spans="2:4" x14ac:dyDescent="0.2">
      <c r="B4" s="3" t="s">
        <v>543</v>
      </c>
      <c r="C4" s="15"/>
      <c r="D4" s="15"/>
    </row>
    <row r="5" spans="2:4" x14ac:dyDescent="0.2">
      <c r="B5" t="s">
        <v>544</v>
      </c>
      <c r="C5" s="32">
        <v>0.3</v>
      </c>
      <c r="D5" s="2" t="s">
        <v>545</v>
      </c>
    </row>
    <row r="6" spans="2:4" x14ac:dyDescent="0.2">
      <c r="B6" t="s">
        <v>546</v>
      </c>
      <c r="C6" s="27">
        <f>SharePrice*(1+LBO_Premium)</f>
        <v>154.102</v>
      </c>
    </row>
    <row r="7" spans="2:4" x14ac:dyDescent="0.2">
      <c r="B7" t="s">
        <v>547</v>
      </c>
      <c r="C7" s="21">
        <f>LBO_OfferPx*SharesDil</f>
        <v>7450.0611900000004</v>
      </c>
    </row>
    <row r="8" spans="2:4" x14ac:dyDescent="0.2">
      <c r="B8" t="s">
        <v>548</v>
      </c>
      <c r="C8" s="21">
        <f ca="1">Debt!$J$46</f>
        <v>1136.1187885634663</v>
      </c>
    </row>
    <row r="9" spans="2:4" x14ac:dyDescent="0.2">
      <c r="B9" t="s">
        <v>549</v>
      </c>
      <c r="C9" s="21">
        <f ca="1">BS!$J$7</f>
        <v>149.99999999999952</v>
      </c>
    </row>
    <row r="10" spans="2:4" x14ac:dyDescent="0.2">
      <c r="B10" t="s">
        <v>550</v>
      </c>
      <c r="C10" s="21">
        <f ca="1">LBO_EqPrice+LBO_RefiDebt-LBO_ExistCash</f>
        <v>8436.1799785634666</v>
      </c>
    </row>
    <row r="11" spans="2:4" x14ac:dyDescent="0.2">
      <c r="B11" t="s">
        <v>551</v>
      </c>
      <c r="C11" s="21">
        <f>IS!$J$33</f>
        <v>970.03191115999994</v>
      </c>
    </row>
    <row r="12" spans="2:4" x14ac:dyDescent="0.2">
      <c r="B12" t="s">
        <v>552</v>
      </c>
      <c r="C12" s="31">
        <f ca="1">LBO_EV/LBO_EBITDA0</f>
        <v>8.6968066529637884</v>
      </c>
    </row>
    <row r="13" spans="2:4" x14ac:dyDescent="0.2">
      <c r="B13" t="s">
        <v>553</v>
      </c>
      <c r="C13" s="33">
        <v>3.5</v>
      </c>
      <c r="D13" s="2" t="s">
        <v>554</v>
      </c>
    </row>
    <row r="14" spans="2:4" x14ac:dyDescent="0.2">
      <c r="B14" t="s">
        <v>555</v>
      </c>
      <c r="C14" s="33">
        <v>1.5</v>
      </c>
      <c r="D14" s="2" t="s">
        <v>556</v>
      </c>
    </row>
    <row r="15" spans="2:4" x14ac:dyDescent="0.2">
      <c r="B15" t="s">
        <v>170</v>
      </c>
      <c r="C15" s="32">
        <v>3.2500000000000001E-2</v>
      </c>
    </row>
    <row r="16" spans="2:4" x14ac:dyDescent="0.2">
      <c r="B16" t="s">
        <v>557</v>
      </c>
      <c r="C16" s="32">
        <v>0.08</v>
      </c>
    </row>
    <row r="17" spans="2:4" x14ac:dyDescent="0.2">
      <c r="B17" t="s">
        <v>558</v>
      </c>
      <c r="C17" s="32">
        <v>0.01</v>
      </c>
    </row>
    <row r="18" spans="2:4" x14ac:dyDescent="0.2">
      <c r="B18" t="s">
        <v>559</v>
      </c>
      <c r="C18" s="32">
        <v>1</v>
      </c>
    </row>
    <row r="19" spans="2:4" x14ac:dyDescent="0.2">
      <c r="B19" t="s">
        <v>560</v>
      </c>
      <c r="C19" s="32">
        <v>1.4999999999999999E-2</v>
      </c>
    </row>
    <row r="20" spans="2:4" x14ac:dyDescent="0.2">
      <c r="B20" t="s">
        <v>561</v>
      </c>
      <c r="C20" s="32">
        <v>2.5000000000000001E-2</v>
      </c>
    </row>
    <row r="21" spans="2:4" x14ac:dyDescent="0.2">
      <c r="B21" t="s">
        <v>562</v>
      </c>
      <c r="C21" s="31">
        <f ca="1">ROUND(LBO_EntryMult,1)</f>
        <v>8.6999999999999993</v>
      </c>
      <c r="D21" s="2" t="s">
        <v>563</v>
      </c>
    </row>
    <row r="22" spans="2:4" x14ac:dyDescent="0.2">
      <c r="B22" s="3" t="s">
        <v>564</v>
      </c>
      <c r="C22" s="15"/>
      <c r="D22" s="15"/>
    </row>
    <row r="23" spans="2:4" x14ac:dyDescent="0.2">
      <c r="B23" t="s">
        <v>565</v>
      </c>
      <c r="C23" s="21">
        <f>LBO_TLB_x*LBO_EBITDA0</f>
        <v>3395.1116890599997</v>
      </c>
    </row>
    <row r="24" spans="2:4" x14ac:dyDescent="0.2">
      <c r="B24" t="s">
        <v>566</v>
      </c>
      <c r="C24" s="21">
        <f>LBO_Notes_x*LBO_EBITDA0</f>
        <v>1455.0478667399998</v>
      </c>
    </row>
    <row r="25" spans="2:4" x14ac:dyDescent="0.2">
      <c r="B25" t="s">
        <v>567</v>
      </c>
      <c r="C25" s="21">
        <f ca="1">LBO_ExistCash</f>
        <v>149.99999999999952</v>
      </c>
    </row>
    <row r="26" spans="2:4" x14ac:dyDescent="0.2">
      <c r="B26" t="s">
        <v>568</v>
      </c>
      <c r="C26" s="21">
        <f ca="1">LBO_Uses-LBO_TLB-LBO_Notes-LBO_SrcCash</f>
        <v>3983.8171113369194</v>
      </c>
    </row>
    <row r="27" spans="2:4" x14ac:dyDescent="0.2">
      <c r="B27" t="s">
        <v>569</v>
      </c>
      <c r="C27" s="21">
        <f ca="1">LBO_TLB+LBO_Notes+LBO_SrcCash+LBO_Equity0</f>
        <v>8983.976667136918</v>
      </c>
    </row>
    <row r="28" spans="2:4" x14ac:dyDescent="0.2">
      <c r="B28" t="s">
        <v>570</v>
      </c>
      <c r="C28" s="21">
        <f>LBO_EqPrice</f>
        <v>7450.0611900000004</v>
      </c>
    </row>
    <row r="29" spans="2:4" x14ac:dyDescent="0.2">
      <c r="B29" t="s">
        <v>571</v>
      </c>
      <c r="C29" s="21">
        <f ca="1">LBO_RefiDebt</f>
        <v>1136.1187885634663</v>
      </c>
    </row>
    <row r="30" spans="2:4" x14ac:dyDescent="0.2">
      <c r="B30" t="s">
        <v>572</v>
      </c>
      <c r="C30" s="21">
        <f ca="1">LBO_AdvFee*LBO_EV+LBO_FinFee*(LBO_TLB+LBO_Notes)</f>
        <v>247.79668857345197</v>
      </c>
    </row>
    <row r="31" spans="2:4" x14ac:dyDescent="0.2">
      <c r="B31" t="s">
        <v>573</v>
      </c>
      <c r="C31" s="21">
        <f>MinCash</f>
        <v>150</v>
      </c>
    </row>
    <row r="32" spans="2:4" x14ac:dyDescent="0.2">
      <c r="B32" t="s">
        <v>574</v>
      </c>
      <c r="C32" s="21">
        <f ca="1">LBO_U_Eq+LBO_U_Refi+LBO_U_Fees+LBO_U_Cash</f>
        <v>8983.976667136918</v>
      </c>
    </row>
    <row r="33" spans="2:4" x14ac:dyDescent="0.2">
      <c r="B33" t="s">
        <v>575</v>
      </c>
      <c r="C33" s="24">
        <f ca="1">LBO_Equity0/(LBO_Equity0+LBO_TLB+LBO_Notes)</f>
        <v>0.45096531963425135</v>
      </c>
    </row>
    <row r="34" spans="2:4" x14ac:dyDescent="0.2">
      <c r="B34" s="3" t="s">
        <v>576</v>
      </c>
      <c r="C34" s="15"/>
      <c r="D34" s="15"/>
    </row>
    <row r="35" spans="2:4" x14ac:dyDescent="0.2">
      <c r="B35" t="s">
        <v>577</v>
      </c>
      <c r="C35" s="21">
        <f>IS!$O$33</f>
        <v>1240.2902324188078</v>
      </c>
    </row>
    <row r="36" spans="2:4" x14ac:dyDescent="0.2">
      <c r="B36" t="s">
        <v>578</v>
      </c>
      <c r="C36" s="21">
        <f ca="1">LBO_ExitMult*LBO_EBITDA5</f>
        <v>10790.525022043626</v>
      </c>
    </row>
    <row r="37" spans="2:4" x14ac:dyDescent="0.2">
      <c r="B37" t="s">
        <v>579</v>
      </c>
      <c r="C37" s="21">
        <f>LBO_CF!$O$18+LBO_CF!$O$21-LBO_CF!$O$23</f>
        <v>1422.9635241003084</v>
      </c>
    </row>
    <row r="38" spans="2:4" x14ac:dyDescent="0.2">
      <c r="B38" t="s">
        <v>580</v>
      </c>
      <c r="C38" s="21">
        <f ca="1">LBO_ExitEV-LBO_ND5</f>
        <v>9367.5614979433176</v>
      </c>
    </row>
    <row r="39" spans="2:4" x14ac:dyDescent="0.2">
      <c r="B39" t="s">
        <v>581</v>
      </c>
      <c r="C39" s="31">
        <f ca="1">LBO_ExitEq/LBO_Equity0</f>
        <v>2.3514034997454187</v>
      </c>
    </row>
    <row r="40" spans="2:4" x14ac:dyDescent="0.2">
      <c r="B40" t="s">
        <v>582</v>
      </c>
      <c r="C40" s="24">
        <f ca="1">LBO_MOIC^(1/5)-1</f>
        <v>0.1864936876822314</v>
      </c>
    </row>
    <row r="41" spans="2:4" x14ac:dyDescent="0.2">
      <c r="B41" s="3" t="s">
        <v>583</v>
      </c>
      <c r="C41" s="15"/>
      <c r="D41" s="15"/>
    </row>
    <row r="42" spans="2:4" x14ac:dyDescent="0.2">
      <c r="B42" t="s">
        <v>584</v>
      </c>
      <c r="C42" s="21">
        <f ca="1">(LBO_EBITDA5-LBO_EBITDA0)*LBO_EntryMult</f>
        <v>2350.3843663424254</v>
      </c>
    </row>
    <row r="43" spans="2:4" x14ac:dyDescent="0.2">
      <c r="B43" t="s">
        <v>585</v>
      </c>
      <c r="C43" s="21">
        <f ca="1">(LBO_ExitMult-LBO_EntryMult)*LBO_EBITDA5</f>
        <v>3.9606771377359045</v>
      </c>
    </row>
    <row r="44" spans="2:4" x14ac:dyDescent="0.2">
      <c r="B44" t="s">
        <v>586</v>
      </c>
      <c r="C44" s="21">
        <f>(LBO_TLB+LBO_Notes-MinCash)-LBO_ND5</f>
        <v>3277.1960316996906</v>
      </c>
    </row>
    <row r="45" spans="2:4" x14ac:dyDescent="0.2">
      <c r="B45" t="s">
        <v>587</v>
      </c>
      <c r="C45" s="21">
        <f ca="1">-LBO_U_Fees</f>
        <v>-247.79668857345197</v>
      </c>
    </row>
    <row r="46" spans="2:4" x14ac:dyDescent="0.2">
      <c r="B46" t="s">
        <v>588</v>
      </c>
      <c r="C46" s="45">
        <f ca="1">LBO_VC_EBITDA+LBO_VC_Mult+LBO_VC_Delev+LBO_VC_Fees-(LBO_ExitEq-LBO_Equity0)</f>
        <v>0</v>
      </c>
    </row>
    <row r="47" spans="2:4" x14ac:dyDescent="0.2">
      <c r="B47" s="3" t="s">
        <v>589</v>
      </c>
      <c r="C47" s="15"/>
      <c r="D47" s="15"/>
    </row>
    <row r="48" spans="2:4" x14ac:dyDescent="0.2">
      <c r="B48" t="s">
        <v>590</v>
      </c>
      <c r="C48" s="27">
        <f ca="1">((LBO_TLB+LBO_Notes+LBO_SrcCash+LBO_ExitEq/(1+0.2)^5-LBO_RefiDebt-LBO_AdvFee*(LBO_RefiDebt-LBO_ExistCash)-LBO_FinFee*(LBO_TLB+LBO_Notes)-MinCash)/(1+LBO_AdvFee))/SharesDil</f>
        <v>149.63484167361176</v>
      </c>
    </row>
    <row r="49" spans="2:7" x14ac:dyDescent="0.2">
      <c r="B49" t="s">
        <v>591</v>
      </c>
      <c r="C49" s="27">
        <f ca="1">((LBO_TLB+LBO_Notes+LBO_SrcCash+LBO_ExitEq/(1+0.25)^5-LBO_RefiDebt-LBO_AdvFee*(LBO_RefiDebt-LBO_ExistCash)-LBO_FinFee*(LBO_TLB+LBO_Notes)-MinCash)/(1+LBO_AdvFee))/SharesDil</f>
        <v>135.47042675431967</v>
      </c>
    </row>
    <row r="51" spans="2:7" x14ac:dyDescent="0.2">
      <c r="B51" s="3" t="s">
        <v>939</v>
      </c>
    </row>
    <row r="52" spans="2:7" x14ac:dyDescent="0.2">
      <c r="B52" s="3" t="s">
        <v>940</v>
      </c>
      <c r="C52" s="31">
        <f ca="1">LBO_ExitMult-2</f>
        <v>6.6999999999999993</v>
      </c>
      <c r="D52" s="31">
        <f ca="1">LBO_ExitMult-1</f>
        <v>7.6999999999999993</v>
      </c>
      <c r="E52" s="31">
        <f ca="1">LBO_ExitMult+0</f>
        <v>8.6999999999999993</v>
      </c>
      <c r="F52" s="31">
        <f ca="1">LBO_ExitMult+1</f>
        <v>9.6999999999999993</v>
      </c>
      <c r="G52" s="31">
        <f ca="1">LBO_ExitMult+2</f>
        <v>10.7</v>
      </c>
    </row>
    <row r="53" spans="2:7" x14ac:dyDescent="0.2">
      <c r="B53" s="32">
        <v>0.15</v>
      </c>
      <c r="C53" s="56">
        <f t="shared" ref="C53:G59" ca="1" si="0">((C$52*LBO_EBITDA5-LBO_ND5)/((SharePrice*(1+$B53)*SharesDil*(1+LBO_AdvFee)+LBO_RefiDebt+LBO_AdvFee*(LBO_RefiDebt-LBO_ExistCash)+LBO_FinFee*(LBO_TLB+LBO_Notes)+MinCash)-LBO_TLB-LBO_Notes-LBO_SrcCash))^(1/5)-1</f>
        <v>0.17224230452497413</v>
      </c>
      <c r="D53" s="56">
        <f t="shared" ca="1" si="0"/>
        <v>0.21171522316964597</v>
      </c>
      <c r="E53" s="56">
        <f t="shared" ca="1" si="0"/>
        <v>0.24662813321121124</v>
      </c>
      <c r="F53" s="56">
        <f t="shared" ca="1" si="0"/>
        <v>0.27801838420778568</v>
      </c>
      <c r="G53" s="56">
        <f t="shared" ca="1" si="0"/>
        <v>0.30659701848252019</v>
      </c>
    </row>
    <row r="54" spans="2:7" x14ac:dyDescent="0.2">
      <c r="B54" s="32">
        <v>0.2</v>
      </c>
      <c r="C54" s="56">
        <f t="shared" ca="1" si="0"/>
        <v>0.15147724524602202</v>
      </c>
      <c r="D54" s="56">
        <f t="shared" ca="1" si="0"/>
        <v>0.19025094198716253</v>
      </c>
      <c r="E54" s="56">
        <f t="shared" ca="1" si="0"/>
        <v>0.22454540595847838</v>
      </c>
      <c r="F54" s="56">
        <f t="shared" ca="1" si="0"/>
        <v>0.25537961114420904</v>
      </c>
      <c r="G54" s="56">
        <f t="shared" ca="1" si="0"/>
        <v>0.28345200448860353</v>
      </c>
    </row>
    <row r="55" spans="2:7" x14ac:dyDescent="0.2">
      <c r="B55" s="32">
        <v>0.25</v>
      </c>
      <c r="C55" s="56">
        <f t="shared" ca="1" si="0"/>
        <v>0.13274050107660251</v>
      </c>
      <c r="D55" s="56">
        <f t="shared" ca="1" si="0"/>
        <v>0.17088327537499315</v>
      </c>
      <c r="E55" s="56">
        <f t="shared" ca="1" si="0"/>
        <v>0.20461970261522211</v>
      </c>
      <c r="F55" s="56">
        <f t="shared" ca="1" si="0"/>
        <v>0.23495217611965602</v>
      </c>
      <c r="G55" s="56">
        <f t="shared" ca="1" si="0"/>
        <v>0.26256777776062035</v>
      </c>
    </row>
    <row r="56" spans="2:7" x14ac:dyDescent="0.2">
      <c r="B56" s="32">
        <v>0.3</v>
      </c>
      <c r="C56" s="56">
        <f t="shared" ca="1" si="0"/>
        <v>0.11569605859144061</v>
      </c>
      <c r="D56" s="56">
        <f t="shared" ca="1" si="0"/>
        <v>0.15326489532678367</v>
      </c>
      <c r="E56" s="57">
        <f t="shared" ca="1" si="0"/>
        <v>0.1864936876822314</v>
      </c>
      <c r="F56" s="56">
        <f t="shared" ca="1" si="0"/>
        <v>0.21636974588272961</v>
      </c>
      <c r="G56" s="56">
        <f t="shared" ca="1" si="0"/>
        <v>0.24356981322134019</v>
      </c>
    </row>
    <row r="57" spans="2:7" x14ac:dyDescent="0.2">
      <c r="B57" s="32">
        <v>0.35</v>
      </c>
      <c r="C57" s="56">
        <f t="shared" ca="1" si="0"/>
        <v>0.10008322544945569</v>
      </c>
      <c r="D57" s="56">
        <f t="shared" ca="1" si="0"/>
        <v>0.13712633120746776</v>
      </c>
      <c r="E57" s="56">
        <f t="shared" ca="1" si="0"/>
        <v>0.16989012632055722</v>
      </c>
      <c r="F57" s="56">
        <f t="shared" ca="1" si="0"/>
        <v>0.19934810478685483</v>
      </c>
      <c r="G57" s="56">
        <f t="shared" ca="1" si="0"/>
        <v>0.2261675396857088</v>
      </c>
    </row>
    <row r="58" spans="2:7" x14ac:dyDescent="0.2">
      <c r="B58" s="32">
        <v>0.4</v>
      </c>
      <c r="C58" s="56">
        <f t="shared" ca="1" si="0"/>
        <v>8.5695914921796845E-2</v>
      </c>
      <c r="D58" s="56">
        <f t="shared" ca="1" si="0"/>
        <v>0.12225455672915486</v>
      </c>
      <c r="E58" s="56">
        <f t="shared" ca="1" si="0"/>
        <v>0.15458985435818895</v>
      </c>
      <c r="F58" s="56">
        <f t="shared" ca="1" si="0"/>
        <v>0.18366257007898934</v>
      </c>
      <c r="G58" s="56">
        <f t="shared" ca="1" si="0"/>
        <v>0.21013125011753875</v>
      </c>
    </row>
    <row r="59" spans="2:7" x14ac:dyDescent="0.2">
      <c r="B59" s="32">
        <v>0.45</v>
      </c>
      <c r="C59" s="56">
        <f t="shared" ca="1" si="0"/>
        <v>7.2368552415940091E-2</v>
      </c>
      <c r="D59" s="56">
        <f t="shared" ca="1" si="0"/>
        <v>0.10847842190556922</v>
      </c>
      <c r="E59" s="56">
        <f t="shared" ca="1" si="0"/>
        <v>0.14041679049829203</v>
      </c>
      <c r="F59" s="56">
        <f t="shared" ca="1" si="0"/>
        <v>0.16913262671340812</v>
      </c>
      <c r="G59" s="56">
        <f t="shared" ca="1" si="0"/>
        <v>0.19527639285196319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S26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2.7109375" customWidth="1"/>
    <col min="5" max="19" width="11.28515625" customWidth="1"/>
  </cols>
  <sheetData>
    <row r="1" spans="2:19" x14ac:dyDescent="0.2">
      <c r="B1" s="1" t="s">
        <v>592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/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593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t="s">
        <v>28</v>
      </c>
      <c r="J7" s="21"/>
      <c r="K7" s="16">
        <f>IS!K33</f>
        <v>1031.2553096953998</v>
      </c>
      <c r="L7" s="16">
        <f>IS!L33</f>
        <v>1091.2856744702108</v>
      </c>
      <c r="M7" s="16">
        <f>IS!M33</f>
        <v>1145.2726008918776</v>
      </c>
      <c r="N7" s="16">
        <f>IS!N33</f>
        <v>1194.6982939042177</v>
      </c>
      <c r="O7" s="16">
        <f>IS!O33</f>
        <v>1240.2902324188078</v>
      </c>
      <c r="P7" s="21"/>
      <c r="Q7" s="21"/>
      <c r="R7" s="21"/>
      <c r="S7" s="21"/>
    </row>
    <row r="8" spans="2:19" x14ac:dyDescent="0.2">
      <c r="B8" t="s">
        <v>594</v>
      </c>
      <c r="J8" s="21"/>
      <c r="K8" s="21">
        <f>-Fixed_Assets!K8</f>
        <v>-67.967310819200009</v>
      </c>
      <c r="L8" s="21">
        <f>-Fixed_Assets!L8</f>
        <v>-70.774337798495992</v>
      </c>
      <c r="M8" s="21">
        <f>-Fixed_Assets!M8</f>
        <v>-73.699054179691515</v>
      </c>
      <c r="N8" s="21">
        <f>-Fixed_Assets!N8</f>
        <v>-76.565216531471947</v>
      </c>
      <c r="O8" s="21">
        <f>-Fixed_Assets!O8</f>
        <v>-79.39902257809986</v>
      </c>
      <c r="P8" s="21"/>
      <c r="Q8" s="21"/>
      <c r="R8" s="21"/>
      <c r="S8" s="21"/>
    </row>
    <row r="9" spans="2:19" x14ac:dyDescent="0.2">
      <c r="B9" t="s">
        <v>595</v>
      </c>
      <c r="J9" s="21"/>
      <c r="K9" s="16">
        <f>NWC!K23</f>
        <v>-5.032412836216281</v>
      </c>
      <c r="L9" s="16">
        <f>NWC!L23</f>
        <v>-6.3205278648981107</v>
      </c>
      <c r="M9" s="16">
        <f>NWC!M23</f>
        <v>-7.124311748461821</v>
      </c>
      <c r="N9" s="16">
        <f>NWC!N23</f>
        <v>-7.014341349584754</v>
      </c>
      <c r="O9" s="16">
        <f>NWC!O23</f>
        <v>-6.941798062779867</v>
      </c>
      <c r="P9" s="21"/>
      <c r="Q9" s="21"/>
      <c r="R9" s="21"/>
      <c r="S9" s="21"/>
    </row>
    <row r="10" spans="2:19" x14ac:dyDescent="0.2">
      <c r="B10" t="s">
        <v>596</v>
      </c>
      <c r="J10" s="21"/>
      <c r="K10" s="16">
        <f>Fixed_Assets!K25</f>
        <v>1.5815193537851542</v>
      </c>
      <c r="L10" s="16">
        <f>Fixed_Assets!L25</f>
        <v>1.9277333679785329</v>
      </c>
      <c r="M10" s="16">
        <f>Fixed_Assets!M25</f>
        <v>2.0085568829543945</v>
      </c>
      <c r="N10" s="16">
        <f>Fixed_Assets!N25</f>
        <v>1.9683447449288565</v>
      </c>
      <c r="O10" s="16">
        <f>Fixed_Assets!O25</f>
        <v>1.9461239648767901</v>
      </c>
      <c r="P10" s="21"/>
      <c r="Q10" s="21"/>
      <c r="R10" s="21"/>
      <c r="S10" s="21"/>
    </row>
    <row r="11" spans="2:19" x14ac:dyDescent="0.2">
      <c r="B11" t="s">
        <v>597</v>
      </c>
      <c r="J11" s="21"/>
      <c r="K11" s="21">
        <f>-((Inputs!K104+LBO_TLB_Spread)*K15+LBO_Notes_Rate*K20)</f>
        <v>-345.57386835074999</v>
      </c>
      <c r="L11" s="21">
        <f>-((Inputs!L104+LBO_TLB_Spread)*L15+LBO_Notes_Rate*L20)</f>
        <v>-304.27252021564072</v>
      </c>
      <c r="M11" s="21">
        <f>-((Inputs!M104+LBO_TLB_Spread)*M15+LBO_Notes_Rate*M20)</f>
        <v>-266.29513910599519</v>
      </c>
      <c r="N11" s="21">
        <f>-((Inputs!N104+LBO_TLB_Spread)*N15+LBO_Notes_Rate*N20)</f>
        <v>-223.64453417567901</v>
      </c>
      <c r="O11" s="21">
        <f>-((Inputs!O104+LBO_TLB_Spread)*O15+LBO_Notes_Rate*O20)</f>
        <v>-176.25836080129741</v>
      </c>
      <c r="P11" s="21"/>
      <c r="Q11" s="21"/>
      <c r="R11" s="21"/>
      <c r="S11" s="21"/>
    </row>
    <row r="12" spans="2:19" x14ac:dyDescent="0.2">
      <c r="B12" t="s">
        <v>598</v>
      </c>
      <c r="J12" s="21"/>
      <c r="K12" s="21">
        <f>-MAX(0,IS!K15+K11)*Inputs!K103</f>
        <v>-109.43909992826096</v>
      </c>
      <c r="L12" s="21">
        <f>-MAX(0,IS!L15+L11)*Inputs!L103</f>
        <v>-127.57862027230021</v>
      </c>
      <c r="M12" s="21">
        <f>-MAX(0,IS!M15+M11)*Inputs!M103</f>
        <v>-143.99949996658884</v>
      </c>
      <c r="N12" s="21">
        <f>-MAX(0,IS!N15+N11)*Inputs!N103</f>
        <v>-160.42449467884785</v>
      </c>
      <c r="O12" s="21">
        <f>-MAX(0,IS!O15+O11)*Inputs!O103</f>
        <v>-176.71388673108629</v>
      </c>
      <c r="P12" s="21"/>
      <c r="Q12" s="21"/>
      <c r="R12" s="21"/>
      <c r="S12" s="21"/>
    </row>
    <row r="13" spans="2:19" x14ac:dyDescent="0.2">
      <c r="B13" s="1" t="s">
        <v>599</v>
      </c>
      <c r="J13" s="21"/>
      <c r="K13" s="42">
        <f>K7+K8+K9+K10+K11+K12</f>
        <v>504.8241371147576</v>
      </c>
      <c r="L13" s="42">
        <f>L7+L8+L9+L10+L11+L12</f>
        <v>584.26740168685433</v>
      </c>
      <c r="M13" s="42">
        <f>M7+M8+M9+M10+M11+M12</f>
        <v>656.16315277409444</v>
      </c>
      <c r="N13" s="42">
        <f>N7+N8+N9+N10+N11+N12</f>
        <v>729.018051913563</v>
      </c>
      <c r="O13" s="42">
        <f>O7+O8+O9+O10+O11+O12</f>
        <v>802.92328821042122</v>
      </c>
      <c r="P13" s="21"/>
      <c r="Q13" s="21"/>
      <c r="R13" s="21"/>
      <c r="S13" s="21"/>
    </row>
    <row r="14" spans="2:19" x14ac:dyDescent="0.2">
      <c r="B14" s="3" t="s">
        <v>600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</row>
    <row r="15" spans="2:19" x14ac:dyDescent="0.2">
      <c r="B15" t="s">
        <v>430</v>
      </c>
      <c r="J15" s="21"/>
      <c r="K15" s="21">
        <f>J18</f>
        <v>3395.1116890599997</v>
      </c>
      <c r="L15" s="21">
        <f>K18</f>
        <v>2890.2875519452418</v>
      </c>
      <c r="M15" s="21">
        <f>L18</f>
        <v>2306.0201502583873</v>
      </c>
      <c r="N15" s="21">
        <f>M18</f>
        <v>1649.8569974842926</v>
      </c>
      <c r="O15" s="21">
        <f>N18</f>
        <v>920.83894557072972</v>
      </c>
      <c r="P15" s="21"/>
      <c r="Q15" s="21"/>
      <c r="R15" s="21"/>
      <c r="S15" s="21"/>
    </row>
    <row r="16" spans="2:19" x14ac:dyDescent="0.2">
      <c r="B16" t="s">
        <v>601</v>
      </c>
      <c r="J16" s="21"/>
      <c r="K16" s="21">
        <f>MIN(K15,LBO_Amort*LBO_TLB)</f>
        <v>33.951116890599998</v>
      </c>
      <c r="L16" s="21">
        <f>MIN(L15,LBO_Amort*LBO_TLB)</f>
        <v>33.951116890599998</v>
      </c>
      <c r="M16" s="21">
        <f>MIN(M15,LBO_Amort*LBO_TLB)</f>
        <v>33.951116890599998</v>
      </c>
      <c r="N16" s="21">
        <f>MIN(N15,LBO_Amort*LBO_TLB)</f>
        <v>33.951116890599998</v>
      </c>
      <c r="O16" s="21">
        <f>MIN(O15,LBO_Amort*LBO_TLB)</f>
        <v>33.951116890599998</v>
      </c>
      <c r="P16" s="21"/>
      <c r="Q16" s="21"/>
      <c r="R16" s="21"/>
      <c r="S16" s="21"/>
    </row>
    <row r="17" spans="2:19" x14ac:dyDescent="0.2">
      <c r="B17" t="s">
        <v>602</v>
      </c>
      <c r="J17" s="21"/>
      <c r="K17" s="21">
        <f>MIN(K15-K16,MAX(0,K13-K16)*LBO_Sweep)</f>
        <v>470.87302022415759</v>
      </c>
      <c r="L17" s="21">
        <f>MIN(L15-L16,MAX(0,L13-L16)*LBO_Sweep)</f>
        <v>550.31628479625431</v>
      </c>
      <c r="M17" s="21">
        <f>MIN(M15-M16,MAX(0,M13-M16)*LBO_Sweep)</f>
        <v>622.21203588349442</v>
      </c>
      <c r="N17" s="21">
        <f>MIN(N15-N16,MAX(0,N13-N16)*LBO_Sweep)</f>
        <v>695.06693502296298</v>
      </c>
      <c r="O17" s="21">
        <f>MIN(O15-O16,MAX(0,O13-O16)*LBO_Sweep)</f>
        <v>768.9721713198212</v>
      </c>
      <c r="P17" s="21"/>
      <c r="Q17" s="21"/>
      <c r="R17" s="21"/>
      <c r="S17" s="21"/>
    </row>
    <row r="18" spans="2:19" x14ac:dyDescent="0.2">
      <c r="B18" s="1" t="s">
        <v>432</v>
      </c>
      <c r="J18" s="41">
        <f>LBO_TLB</f>
        <v>3395.1116890599997</v>
      </c>
      <c r="K18" s="41">
        <f>K15-K16-K17</f>
        <v>2890.2875519452418</v>
      </c>
      <c r="L18" s="41">
        <f>L15-L16-L17</f>
        <v>2306.0201502583873</v>
      </c>
      <c r="M18" s="41">
        <f>M15-M16-M17</f>
        <v>1649.8569974842926</v>
      </c>
      <c r="N18" s="41">
        <f>N15-N16-N17</f>
        <v>920.83894557072972</v>
      </c>
      <c r="O18" s="41">
        <f>O15-O16-O17</f>
        <v>117.9156573603085</v>
      </c>
      <c r="P18" s="21"/>
      <c r="Q18" s="21"/>
      <c r="R18" s="21"/>
      <c r="S18" s="21"/>
    </row>
    <row r="19" spans="2:19" x14ac:dyDescent="0.2">
      <c r="B19" s="3" t="s">
        <v>603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</row>
    <row r="20" spans="2:19" x14ac:dyDescent="0.2">
      <c r="B20" t="s">
        <v>430</v>
      </c>
      <c r="J20" s="21"/>
      <c r="K20" s="21">
        <f>J21</f>
        <v>1455.0478667399998</v>
      </c>
      <c r="L20" s="21">
        <f>K21</f>
        <v>1455.0478667399998</v>
      </c>
      <c r="M20" s="21">
        <f>L21</f>
        <v>1455.0478667399998</v>
      </c>
      <c r="N20" s="21">
        <f>M21</f>
        <v>1455.0478667399998</v>
      </c>
      <c r="O20" s="21">
        <f>N21</f>
        <v>1455.0478667399998</v>
      </c>
      <c r="P20" s="21"/>
      <c r="Q20" s="21"/>
      <c r="R20" s="21"/>
      <c r="S20" s="21"/>
    </row>
    <row r="21" spans="2:19" x14ac:dyDescent="0.2">
      <c r="B21" s="1" t="s">
        <v>432</v>
      </c>
      <c r="J21" s="41">
        <f>LBO_Notes</f>
        <v>1455.0478667399998</v>
      </c>
      <c r="K21" s="41">
        <f>K20</f>
        <v>1455.0478667399998</v>
      </c>
      <c r="L21" s="41">
        <f>L20</f>
        <v>1455.0478667399998</v>
      </c>
      <c r="M21" s="41">
        <f>M20</f>
        <v>1455.0478667399998</v>
      </c>
      <c r="N21" s="41">
        <f>N20</f>
        <v>1455.0478667399998</v>
      </c>
      <c r="O21" s="41">
        <f>O20</f>
        <v>1455.0478667399998</v>
      </c>
      <c r="P21" s="21"/>
      <c r="Q21" s="21"/>
      <c r="R21" s="21"/>
      <c r="S21" s="21"/>
    </row>
    <row r="22" spans="2:19" x14ac:dyDescent="0.2">
      <c r="B22" s="3" t="s">
        <v>604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</row>
    <row r="23" spans="2:19" x14ac:dyDescent="0.2">
      <c r="B23" s="1" t="s">
        <v>377</v>
      </c>
      <c r="J23" s="41">
        <f>MinCash</f>
        <v>150</v>
      </c>
      <c r="K23" s="41">
        <f>J23+K13-K16-K17</f>
        <v>150</v>
      </c>
      <c r="L23" s="41">
        <f>K23+L13-L16-L17</f>
        <v>150</v>
      </c>
      <c r="M23" s="41">
        <f>L23+M13-M16-M17</f>
        <v>150</v>
      </c>
      <c r="N23" s="41">
        <f>M23+N13-N16-N17</f>
        <v>150</v>
      </c>
      <c r="O23" s="41">
        <f>N23+O13-O16-O17</f>
        <v>150</v>
      </c>
      <c r="P23" s="21"/>
      <c r="Q23" s="21"/>
      <c r="R23" s="21"/>
      <c r="S23" s="21"/>
    </row>
    <row r="24" spans="2:19" x14ac:dyDescent="0.2">
      <c r="B24" t="s">
        <v>605</v>
      </c>
      <c r="J24" s="31">
        <f>(J18+J21)/IS!J33</f>
        <v>4.9999999999999991</v>
      </c>
      <c r="K24" s="31">
        <f>(K18+K21)/IS!K33</f>
        <v>4.2136368926611549</v>
      </c>
      <c r="L24" s="31">
        <f>(L18+L21)/IS!L33</f>
        <v>3.4464559601447</v>
      </c>
      <c r="M24" s="31">
        <f>(M18+M21)/IS!M33</f>
        <v>2.7110618570691005</v>
      </c>
      <c r="N24" s="31">
        <f>(N18+N21)/IS!N33</f>
        <v>1.9886918935377762</v>
      </c>
      <c r="O24" s="31">
        <f>(O18+O21)/IS!O33</f>
        <v>1.268222133002469</v>
      </c>
      <c r="P24" s="31"/>
      <c r="Q24" s="31"/>
      <c r="R24" s="31"/>
      <c r="S24" s="31"/>
    </row>
    <row r="25" spans="2:19" x14ac:dyDescent="0.2">
      <c r="B25" t="s">
        <v>606</v>
      </c>
      <c r="J25" s="31"/>
      <c r="K25" s="31">
        <f>-K7/K11</f>
        <v>2.9841819771184146</v>
      </c>
      <c r="L25" s="31">
        <f>-L7/L11</f>
        <v>3.586540360913324</v>
      </c>
      <c r="M25" s="31">
        <f>-M7/M11</f>
        <v>4.3007641999654274</v>
      </c>
      <c r="N25" s="31">
        <f>-N7/N11</f>
        <v>5.3419516748204945</v>
      </c>
      <c r="O25" s="31">
        <f>-O7/O11</f>
        <v>7.0367738970240001</v>
      </c>
      <c r="P25" s="31"/>
      <c r="Q25" s="31"/>
      <c r="R25" s="31"/>
      <c r="S25" s="31"/>
    </row>
    <row r="26" spans="2:19" x14ac:dyDescent="0.2">
      <c r="B26" t="s">
        <v>607</v>
      </c>
      <c r="J26" s="21"/>
      <c r="K26" s="21">
        <f>LBO_TLB-K18</f>
        <v>504.82413711475783</v>
      </c>
      <c r="L26" s="21">
        <f>LBO_TLB-L18</f>
        <v>1089.0915388016124</v>
      </c>
      <c r="M26" s="21">
        <f>LBO_TLB-M18</f>
        <v>1745.2546915757071</v>
      </c>
      <c r="N26" s="21">
        <f>LBO_TLB-N18</f>
        <v>2474.2727434892699</v>
      </c>
      <c r="O26" s="21">
        <f>LBO_TLB-O18</f>
        <v>3277.196031699691</v>
      </c>
      <c r="P26" s="21"/>
      <c r="Q26" s="21"/>
      <c r="R26" s="21"/>
      <c r="S26" s="21"/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K43"/>
  <sheetViews>
    <sheetView showGridLines="0" zoomScale="90" zoomScaleNormal="90" workbookViewId="0"/>
  </sheetViews>
  <sheetFormatPr defaultRowHeight="12.75" x14ac:dyDescent="0.2"/>
  <cols>
    <col min="1" max="1" width="2.7109375" customWidth="1"/>
    <col min="2" max="2" width="52.7109375" customWidth="1"/>
    <col min="3" max="12" width="11.7109375" customWidth="1"/>
    <col min="13" max="19" width="11.28515625" customWidth="1"/>
  </cols>
  <sheetData>
    <row r="1" spans="2:4" x14ac:dyDescent="0.2">
      <c r="B1" s="1" t="s">
        <v>608</v>
      </c>
    </row>
    <row r="2" spans="2:4" x14ac:dyDescent="0.2">
      <c r="B2" s="2" t="s">
        <v>1</v>
      </c>
    </row>
    <row r="4" spans="2:4" x14ac:dyDescent="0.2">
      <c r="B4" s="3" t="s">
        <v>609</v>
      </c>
      <c r="C4" s="15"/>
      <c r="D4" s="15"/>
    </row>
    <row r="5" spans="2:4" x14ac:dyDescent="0.2">
      <c r="B5" t="s">
        <v>610</v>
      </c>
      <c r="C5" s="35">
        <v>2500</v>
      </c>
      <c r="D5" s="2" t="s">
        <v>611</v>
      </c>
    </row>
    <row r="6" spans="2:4" x14ac:dyDescent="0.2">
      <c r="B6" t="s">
        <v>612</v>
      </c>
      <c r="C6" s="35">
        <v>2046.9</v>
      </c>
      <c r="D6" s="2" t="s">
        <v>613</v>
      </c>
    </row>
    <row r="7" spans="2:4" x14ac:dyDescent="0.2">
      <c r="B7" t="s">
        <v>614</v>
      </c>
      <c r="C7" s="35">
        <v>270.39999999999998</v>
      </c>
      <c r="D7" s="2" t="s">
        <v>615</v>
      </c>
    </row>
    <row r="8" spans="2:4" x14ac:dyDescent="0.2">
      <c r="B8" t="s">
        <v>616</v>
      </c>
      <c r="C8" s="21">
        <f>HD_Cash+HD_Stock</f>
        <v>2317.3000000000002</v>
      </c>
    </row>
    <row r="9" spans="2:4" x14ac:dyDescent="0.2">
      <c r="B9" t="s">
        <v>617</v>
      </c>
      <c r="C9" s="35">
        <v>200</v>
      </c>
      <c r="D9" s="2" t="s">
        <v>618</v>
      </c>
    </row>
    <row r="10" spans="2:4" x14ac:dyDescent="0.2">
      <c r="B10" t="s">
        <v>552</v>
      </c>
      <c r="C10" s="31">
        <f>HD_Headline/HD_EBITDA21</f>
        <v>12.5</v>
      </c>
    </row>
    <row r="11" spans="2:4" x14ac:dyDescent="0.2">
      <c r="B11" t="s">
        <v>619</v>
      </c>
      <c r="C11" s="35">
        <v>713.3</v>
      </c>
      <c r="D11" s="2" t="s">
        <v>620</v>
      </c>
    </row>
    <row r="12" spans="2:4" x14ac:dyDescent="0.2">
      <c r="B12" t="s">
        <v>621</v>
      </c>
      <c r="C12" s="35">
        <v>737</v>
      </c>
      <c r="D12" s="2" t="s">
        <v>622</v>
      </c>
    </row>
    <row r="13" spans="2:4" x14ac:dyDescent="0.2">
      <c r="B13" s="3" t="s">
        <v>623</v>
      </c>
      <c r="C13" s="15"/>
      <c r="D13" s="15"/>
    </row>
    <row r="14" spans="2:4" x14ac:dyDescent="0.2">
      <c r="B14" t="s">
        <v>624</v>
      </c>
      <c r="C14" s="21">
        <f>SUM(C40:F40)</f>
        <v>516.02026000000001</v>
      </c>
    </row>
    <row r="15" spans="2:4" x14ac:dyDescent="0.2">
      <c r="B15" t="s">
        <v>625</v>
      </c>
      <c r="C15" s="24">
        <f>D41</f>
        <v>7.515493030682259E-2</v>
      </c>
    </row>
    <row r="16" spans="2:4" x14ac:dyDescent="0.2">
      <c r="B16" t="s">
        <v>626</v>
      </c>
      <c r="C16" s="24">
        <f>F41</f>
        <v>2.4113796228369216E-2</v>
      </c>
    </row>
    <row r="17" spans="2:4" x14ac:dyDescent="0.2">
      <c r="B17" t="s">
        <v>627</v>
      </c>
      <c r="C17" s="24">
        <f>K41</f>
        <v>3.2506781237942331E-2</v>
      </c>
    </row>
    <row r="18" spans="2:4" x14ac:dyDescent="0.2">
      <c r="B18" s="3" t="s">
        <v>628</v>
      </c>
      <c r="C18" s="15"/>
      <c r="D18" s="15"/>
    </row>
    <row r="19" spans="2:4" x14ac:dyDescent="0.2">
      <c r="B19" t="s">
        <v>629</v>
      </c>
      <c r="C19" s="21">
        <f>SOTP_HD_EBITDA</f>
        <v>75.602069478867065</v>
      </c>
    </row>
    <row r="20" spans="2:4" x14ac:dyDescent="0.2">
      <c r="B20" t="s">
        <v>630</v>
      </c>
      <c r="C20" s="33">
        <v>6</v>
      </c>
      <c r="D20" s="2" t="s">
        <v>631</v>
      </c>
    </row>
    <row r="21" spans="2:4" x14ac:dyDescent="0.2">
      <c r="B21" t="s">
        <v>632</v>
      </c>
      <c r="C21" s="21">
        <f>HD_EBITDA26*HD_Mult_Today</f>
        <v>453.61241687320239</v>
      </c>
    </row>
    <row r="22" spans="2:4" x14ac:dyDescent="0.2">
      <c r="B22" t="s">
        <v>633</v>
      </c>
      <c r="C22" s="21">
        <f>HD_Paid-(HD_Value_Today+HD_CumNOPAT)</f>
        <v>1347.6673231267978</v>
      </c>
      <c r="D22" s="2" t="s">
        <v>634</v>
      </c>
    </row>
    <row r="23" spans="2:4" x14ac:dyDescent="0.2">
      <c r="B23" t="s">
        <v>635</v>
      </c>
      <c r="C23" s="27">
        <f>HD_Destroyed/SharesDil</f>
        <v>27.876043502467635</v>
      </c>
    </row>
    <row r="24" spans="2:4" x14ac:dyDescent="0.2">
      <c r="B24" s="3" t="s">
        <v>636</v>
      </c>
      <c r="C24" s="15"/>
      <c r="D24" s="15"/>
    </row>
    <row r="25" spans="2:4" x14ac:dyDescent="0.2">
      <c r="B25" t="s">
        <v>637</v>
      </c>
      <c r="C25" s="32">
        <v>0.5</v>
      </c>
    </row>
    <row r="26" spans="2:4" x14ac:dyDescent="0.2">
      <c r="B26" t="s">
        <v>638</v>
      </c>
      <c r="C26" s="32">
        <v>0.1</v>
      </c>
    </row>
    <row r="27" spans="2:4" x14ac:dyDescent="0.2">
      <c r="B27" t="s">
        <v>639</v>
      </c>
      <c r="C27" s="32">
        <v>0.01</v>
      </c>
    </row>
    <row r="28" spans="2:4" x14ac:dyDescent="0.2">
      <c r="B28" t="s">
        <v>640</v>
      </c>
      <c r="C28" s="32">
        <v>1.4999999999999999E-2</v>
      </c>
    </row>
    <row r="29" spans="2:4" x14ac:dyDescent="0.2">
      <c r="B29" t="s">
        <v>641</v>
      </c>
      <c r="C29" s="21">
        <f>SUM(DCF!$J$40:$S$40)+DCF!$S$39*(1+HD_TG)/(WACC+HD_Premium-HD_TG)*(1+WACC+HD_Premium)^-N_End</f>
        <v>526.18177136712211</v>
      </c>
    </row>
    <row r="30" spans="2:4" x14ac:dyDescent="0.2">
      <c r="B30" t="s">
        <v>642</v>
      </c>
      <c r="C30" s="35">
        <v>1700.4</v>
      </c>
      <c r="D30" s="2" t="s">
        <v>643</v>
      </c>
    </row>
    <row r="31" spans="2:4" x14ac:dyDescent="0.2">
      <c r="B31" t="s">
        <v>644</v>
      </c>
      <c r="C31" s="21">
        <f>HD_FV-HD_Carrying</f>
        <v>-1174.218228632878</v>
      </c>
    </row>
    <row r="32" spans="2:4" x14ac:dyDescent="0.2">
      <c r="B32" t="s">
        <v>645</v>
      </c>
      <c r="C32" s="26" t="str">
        <f>IF(HD_Headroom&lt;0,"Impairment likely","No impairment")</f>
        <v>Impairment likely</v>
      </c>
    </row>
    <row r="34" spans="2:11" x14ac:dyDescent="0.2">
      <c r="B34" s="3" t="s">
        <v>941</v>
      </c>
    </row>
    <row r="35" spans="2:11" x14ac:dyDescent="0.2">
      <c r="C35" s="13" t="s">
        <v>5</v>
      </c>
      <c r="D35" s="13" t="s">
        <v>6</v>
      </c>
      <c r="E35" s="13" t="s">
        <v>7</v>
      </c>
      <c r="F35" s="13" t="s">
        <v>8</v>
      </c>
      <c r="G35" s="13" t="s">
        <v>9</v>
      </c>
      <c r="H35" s="13" t="s">
        <v>10</v>
      </c>
      <c r="I35" s="13" t="s">
        <v>11</v>
      </c>
      <c r="J35" s="13" t="s">
        <v>12</v>
      </c>
      <c r="K35" s="13" t="s">
        <v>13</v>
      </c>
    </row>
    <row r="36" spans="2:11" x14ac:dyDescent="0.2">
      <c r="B36" t="s">
        <v>24</v>
      </c>
      <c r="C36" s="21">
        <f>Rev_Build!F24</f>
        <v>895.86</v>
      </c>
      <c r="D36" s="21">
        <f>Rev_Build!G24</f>
        <v>949.39300000000003</v>
      </c>
      <c r="E36" s="21">
        <f>Rev_Build!H24</f>
        <v>824.14099999999996</v>
      </c>
      <c r="F36" s="21">
        <f>Rev_Build!I24</f>
        <v>714.83999999999992</v>
      </c>
      <c r="G36" s="21">
        <f>Rev_Build!J24</f>
        <v>694.67245000000003</v>
      </c>
      <c r="H36" s="21">
        <f>Rev_Build!K24</f>
        <v>693.87172299999997</v>
      </c>
      <c r="I36" s="21">
        <f>Rev_Build!L24</f>
        <v>701.25169093999989</v>
      </c>
      <c r="J36" s="21">
        <f>Rev_Build!M24</f>
        <v>716.70959526073977</v>
      </c>
      <c r="K36" s="21">
        <f>Rev_Build!N24</f>
        <v>734.9069674408172</v>
      </c>
    </row>
    <row r="37" spans="2:11" x14ac:dyDescent="0.2">
      <c r="B37" t="s">
        <v>942</v>
      </c>
      <c r="C37" s="21">
        <f>IS!F44</f>
        <v>211.36099999999999</v>
      </c>
      <c r="D37" s="21">
        <f>IS!G44</f>
        <v>212.386</v>
      </c>
      <c r="E37" s="21">
        <f>IS!H44</f>
        <v>137.40100000000001</v>
      </c>
      <c r="F37" s="21">
        <f>IS!I44</f>
        <v>-668.85500000000002</v>
      </c>
      <c r="G37" s="21">
        <f>IS!J44</f>
        <v>62.520520499999982</v>
      </c>
      <c r="H37" s="21">
        <f>IS!K44</f>
        <v>72.856530914999979</v>
      </c>
      <c r="I37" s="21">
        <f>IS!L44</f>
        <v>84.150202912799983</v>
      </c>
      <c r="J37" s="21">
        <f>IS!M44</f>
        <v>89.588699407592472</v>
      </c>
      <c r="K37" s="21">
        <f>IS!N44</f>
        <v>91.86337093010215</v>
      </c>
    </row>
    <row r="38" spans="2:11" x14ac:dyDescent="0.2">
      <c r="B38" t="s">
        <v>943</v>
      </c>
      <c r="C38" s="21">
        <f>0</f>
        <v>0</v>
      </c>
      <c r="D38" s="21">
        <f>0</f>
        <v>0</v>
      </c>
      <c r="E38" s="21">
        <f>0</f>
        <v>0</v>
      </c>
      <c r="F38" s="21">
        <f>HD_Impair25</f>
        <v>737</v>
      </c>
      <c r="G38" s="21">
        <f>0</f>
        <v>0</v>
      </c>
      <c r="H38" s="21">
        <f>0</f>
        <v>0</v>
      </c>
      <c r="I38" s="21">
        <f>0</f>
        <v>0</v>
      </c>
      <c r="J38" s="21">
        <f>0</f>
        <v>0</v>
      </c>
      <c r="K38" s="21">
        <f>0</f>
        <v>0</v>
      </c>
    </row>
    <row r="39" spans="2:11" x14ac:dyDescent="0.2">
      <c r="B39" t="s">
        <v>944</v>
      </c>
      <c r="C39" s="21">
        <f t="shared" ref="C39:K39" si="0">C37+C38</f>
        <v>211.36099999999999</v>
      </c>
      <c r="D39" s="21">
        <f t="shared" si="0"/>
        <v>212.386</v>
      </c>
      <c r="E39" s="21">
        <f t="shared" si="0"/>
        <v>137.40100000000001</v>
      </c>
      <c r="F39" s="21">
        <f t="shared" si="0"/>
        <v>68.144999999999982</v>
      </c>
      <c r="G39" s="21">
        <f t="shared" si="0"/>
        <v>62.520520499999982</v>
      </c>
      <c r="H39" s="21">
        <f t="shared" si="0"/>
        <v>72.856530914999979</v>
      </c>
      <c r="I39" s="21">
        <f t="shared" si="0"/>
        <v>84.150202912799983</v>
      </c>
      <c r="J39" s="21">
        <f t="shared" si="0"/>
        <v>89.588699407592472</v>
      </c>
      <c r="K39" s="21">
        <f t="shared" si="0"/>
        <v>91.86337093010215</v>
      </c>
    </row>
    <row r="40" spans="2:11" x14ac:dyDescent="0.2">
      <c r="B40" t="s">
        <v>945</v>
      </c>
      <c r="C40" s="21">
        <f t="shared" ref="C40:K40" si="1">C39*(1-0.18)</f>
        <v>173.31602000000001</v>
      </c>
      <c r="D40" s="21">
        <f t="shared" si="1"/>
        <v>174.15652</v>
      </c>
      <c r="E40" s="21">
        <f t="shared" si="1"/>
        <v>112.66882000000001</v>
      </c>
      <c r="F40" s="21">
        <f t="shared" si="1"/>
        <v>55.878899999999987</v>
      </c>
      <c r="G40" s="21">
        <f t="shared" si="1"/>
        <v>51.266826809999991</v>
      </c>
      <c r="H40" s="21">
        <f t="shared" si="1"/>
        <v>59.742355350299988</v>
      </c>
      <c r="I40" s="21">
        <f t="shared" si="1"/>
        <v>69.003166388495998</v>
      </c>
      <c r="J40" s="21">
        <f t="shared" si="1"/>
        <v>73.462733514225832</v>
      </c>
      <c r="K40" s="21">
        <f t="shared" si="1"/>
        <v>75.32796416268377</v>
      </c>
    </row>
    <row r="41" spans="2:11" x14ac:dyDescent="0.2">
      <c r="B41" s="1" t="s">
        <v>946</v>
      </c>
      <c r="C41" s="24">
        <f t="shared" ref="C41:K41" si="2">C40/HD_Paid</f>
        <v>7.4792223708626412E-2</v>
      </c>
      <c r="D41" s="24">
        <f t="shared" si="2"/>
        <v>7.515493030682259E-2</v>
      </c>
      <c r="E41" s="24">
        <f t="shared" si="2"/>
        <v>4.8620731023173519E-2</v>
      </c>
      <c r="F41" s="24">
        <f t="shared" si="2"/>
        <v>2.4113796228369216E-2</v>
      </c>
      <c r="G41" s="24">
        <f t="shared" si="2"/>
        <v>2.2123517373667623E-2</v>
      </c>
      <c r="H41" s="24">
        <f t="shared" si="2"/>
        <v>2.5781019009321185E-2</v>
      </c>
      <c r="I41" s="24">
        <f t="shared" si="2"/>
        <v>2.977739886440944E-2</v>
      </c>
      <c r="J41" s="24">
        <f t="shared" si="2"/>
        <v>3.1701865755070911E-2</v>
      </c>
      <c r="K41" s="24">
        <f t="shared" si="2"/>
        <v>3.2506781237942331E-2</v>
      </c>
    </row>
    <row r="42" spans="2:11" x14ac:dyDescent="0.2">
      <c r="B42" t="s">
        <v>505</v>
      </c>
      <c r="C42" s="24">
        <f t="shared" ref="C42:K42" si="3">WACC</f>
        <v>9.5270238479180563E-2</v>
      </c>
      <c r="D42" s="24">
        <f t="shared" si="3"/>
        <v>9.5270238479180563E-2</v>
      </c>
      <c r="E42" s="24">
        <f t="shared" si="3"/>
        <v>9.5270238479180563E-2</v>
      </c>
      <c r="F42" s="24">
        <f t="shared" si="3"/>
        <v>9.5270238479180563E-2</v>
      </c>
      <c r="G42" s="24">
        <f t="shared" si="3"/>
        <v>9.5270238479180563E-2</v>
      </c>
      <c r="H42" s="24">
        <f t="shared" si="3"/>
        <v>9.5270238479180563E-2</v>
      </c>
      <c r="I42" s="24">
        <f t="shared" si="3"/>
        <v>9.5270238479180563E-2</v>
      </c>
      <c r="J42" s="24">
        <f t="shared" si="3"/>
        <v>9.5270238479180563E-2</v>
      </c>
      <c r="K42" s="24">
        <f t="shared" si="3"/>
        <v>9.5270238479180563E-2</v>
      </c>
    </row>
    <row r="43" spans="2:11" x14ac:dyDescent="0.2">
      <c r="B43" t="s">
        <v>947</v>
      </c>
      <c r="C43" s="21">
        <f t="shared" ref="C43:K43" si="4">C40-WACC*HD_Paid</f>
        <v>-47.45370362780514</v>
      </c>
      <c r="D43" s="21">
        <f t="shared" si="4"/>
        <v>-46.613203627805149</v>
      </c>
      <c r="E43" s="21">
        <f t="shared" si="4"/>
        <v>-108.10090362780514</v>
      </c>
      <c r="F43" s="21">
        <f t="shared" si="4"/>
        <v>-164.89082362780516</v>
      </c>
      <c r="G43" s="21">
        <f t="shared" si="4"/>
        <v>-169.50289681780515</v>
      </c>
      <c r="H43" s="21">
        <f t="shared" si="4"/>
        <v>-161.02736827750516</v>
      </c>
      <c r="I43" s="21">
        <f t="shared" si="4"/>
        <v>-151.76655723930915</v>
      </c>
      <c r="J43" s="21">
        <f t="shared" si="4"/>
        <v>-147.30699011357933</v>
      </c>
      <c r="K43" s="21">
        <f t="shared" si="4"/>
        <v>-145.44175946512138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1:G49"/>
  <sheetViews>
    <sheetView showGridLines="0" zoomScale="90" zoomScaleNormal="90" workbookViewId="0"/>
  </sheetViews>
  <sheetFormatPr defaultRowHeight="12.75" x14ac:dyDescent="0.2"/>
  <cols>
    <col min="1" max="1" width="2.7109375" customWidth="1"/>
    <col min="2" max="2" width="52.7109375" customWidth="1"/>
    <col min="3" max="3" width="14.7109375" customWidth="1"/>
    <col min="4" max="4" width="50.7109375" customWidth="1"/>
    <col min="5" max="19" width="11.28515625" customWidth="1"/>
  </cols>
  <sheetData>
    <row r="1" spans="2:4" x14ac:dyDescent="0.2">
      <c r="B1" s="1" t="s">
        <v>646</v>
      </c>
    </row>
    <row r="2" spans="2:4" x14ac:dyDescent="0.2">
      <c r="B2" s="2" t="s">
        <v>1</v>
      </c>
    </row>
    <row r="4" spans="2:4" x14ac:dyDescent="0.2">
      <c r="B4" s="3" t="s">
        <v>647</v>
      </c>
      <c r="C4" s="15"/>
      <c r="D4" s="15"/>
    </row>
    <row r="5" spans="2:4" x14ac:dyDescent="0.2">
      <c r="B5" t="s">
        <v>648</v>
      </c>
      <c r="C5" s="36">
        <v>78.375</v>
      </c>
      <c r="D5" s="2" t="s">
        <v>649</v>
      </c>
    </row>
    <row r="6" spans="2:4" x14ac:dyDescent="0.2">
      <c r="B6" t="s">
        <v>650</v>
      </c>
      <c r="C6" s="34">
        <v>136.18190000000001</v>
      </c>
    </row>
    <row r="7" spans="2:4" x14ac:dyDescent="0.2">
      <c r="B7" t="s">
        <v>651</v>
      </c>
      <c r="C7" s="36">
        <v>8.3255999999999997</v>
      </c>
    </row>
    <row r="8" spans="2:4" x14ac:dyDescent="0.2">
      <c r="B8" t="s">
        <v>652</v>
      </c>
      <c r="C8" s="31">
        <f>M_A_Price/M_A_EPS</f>
        <v>9.4137359469587789</v>
      </c>
    </row>
    <row r="9" spans="2:4" x14ac:dyDescent="0.2">
      <c r="B9" t="s">
        <v>653</v>
      </c>
      <c r="C9" s="35">
        <v>1602.5890999999999</v>
      </c>
    </row>
    <row r="10" spans="2:4" x14ac:dyDescent="0.2">
      <c r="B10" t="s">
        <v>654</v>
      </c>
      <c r="C10" s="35">
        <v>500</v>
      </c>
    </row>
    <row r="11" spans="2:4" x14ac:dyDescent="0.2">
      <c r="B11" t="s">
        <v>655</v>
      </c>
      <c r="C11" s="32">
        <v>0.24</v>
      </c>
    </row>
    <row r="12" spans="2:4" x14ac:dyDescent="0.2">
      <c r="B12" s="3" t="s">
        <v>656</v>
      </c>
      <c r="C12" s="15"/>
      <c r="D12" s="15"/>
    </row>
    <row r="13" spans="2:4" x14ac:dyDescent="0.2">
      <c r="B13" t="s">
        <v>657</v>
      </c>
      <c r="C13" s="32">
        <v>0.3</v>
      </c>
    </row>
    <row r="14" spans="2:4" x14ac:dyDescent="0.2">
      <c r="B14" t="s">
        <v>658</v>
      </c>
      <c r="C14" s="27">
        <f>SharePrice*(1+M_Premium)</f>
        <v>154.102</v>
      </c>
    </row>
    <row r="15" spans="2:4" x14ac:dyDescent="0.2">
      <c r="B15" t="s">
        <v>547</v>
      </c>
      <c r="C15" s="21">
        <f>M_OfferPx*SharesDil</f>
        <v>7450.0611900000004</v>
      </c>
    </row>
    <row r="16" spans="2:4" x14ac:dyDescent="0.2">
      <c r="B16" t="s">
        <v>659</v>
      </c>
      <c r="C16" s="31">
        <f ca="1">M_OfferPx/NTM_EPS</f>
        <v>9.3970472701443875</v>
      </c>
    </row>
    <row r="17" spans="2:4" x14ac:dyDescent="0.2">
      <c r="B17" t="s">
        <v>660</v>
      </c>
      <c r="C17" s="32">
        <v>0.5</v>
      </c>
    </row>
    <row r="18" spans="2:4" x14ac:dyDescent="0.2">
      <c r="B18" t="s">
        <v>661</v>
      </c>
      <c r="C18" s="29">
        <f>M_EqPrice*M_PctStock/M_A_Price</f>
        <v>47.528301052631583</v>
      </c>
    </row>
    <row r="19" spans="2:4" x14ac:dyDescent="0.2">
      <c r="B19" t="s">
        <v>662</v>
      </c>
      <c r="C19" s="21">
        <f>M_EqPrice*(1-M_PctStock)</f>
        <v>3725.0305950000002</v>
      </c>
    </row>
    <row r="20" spans="2:4" x14ac:dyDescent="0.2">
      <c r="B20" t="s">
        <v>663</v>
      </c>
      <c r="C20" s="21">
        <f>MIN(M_CashNeed,MAX(0,M_A_Cash-M_A_MinCash))</f>
        <v>1102.5890999999999</v>
      </c>
    </row>
    <row r="21" spans="2:4" x14ac:dyDescent="0.2">
      <c r="B21" t="s">
        <v>664</v>
      </c>
      <c r="C21" s="21">
        <f>M_CashNeed-M_CashUsed</f>
        <v>2622.441495</v>
      </c>
    </row>
    <row r="22" spans="2:4" x14ac:dyDescent="0.2">
      <c r="B22" t="s">
        <v>665</v>
      </c>
      <c r="C22" s="32">
        <v>6.5000000000000002E-2</v>
      </c>
    </row>
    <row r="23" spans="2:4" x14ac:dyDescent="0.2">
      <c r="B23" t="s">
        <v>666</v>
      </c>
      <c r="C23" s="32">
        <v>0.04</v>
      </c>
    </row>
    <row r="24" spans="2:4" x14ac:dyDescent="0.2">
      <c r="B24" t="s">
        <v>667</v>
      </c>
      <c r="C24" s="35">
        <v>150</v>
      </c>
      <c r="D24" s="2" t="s">
        <v>668</v>
      </c>
    </row>
    <row r="25" spans="2:4" x14ac:dyDescent="0.2">
      <c r="B25" t="s">
        <v>669</v>
      </c>
      <c r="C25" s="32">
        <v>0.2</v>
      </c>
    </row>
    <row r="26" spans="2:4" x14ac:dyDescent="0.2">
      <c r="B26" t="s">
        <v>670</v>
      </c>
      <c r="C26" s="14">
        <v>10</v>
      </c>
    </row>
    <row r="27" spans="2:4" x14ac:dyDescent="0.2">
      <c r="B27" s="3" t="s">
        <v>671</v>
      </c>
      <c r="C27" s="15"/>
      <c r="D27" s="15"/>
    </row>
    <row r="28" spans="2:4" x14ac:dyDescent="0.2">
      <c r="B28" t="s">
        <v>672</v>
      </c>
      <c r="C28" s="21">
        <f>M_A_EPS*M_A_Shares</f>
        <v>1133.79602664</v>
      </c>
    </row>
    <row r="29" spans="2:4" x14ac:dyDescent="0.2">
      <c r="B29" t="s">
        <v>673</v>
      </c>
      <c r="C29" s="21">
        <f ca="1">NTM_EPS*SharesDil</f>
        <v>792.80873830120981</v>
      </c>
    </row>
    <row r="30" spans="2:4" x14ac:dyDescent="0.2">
      <c r="B30" t="s">
        <v>674</v>
      </c>
      <c r="C30" s="21">
        <f>M_Synergies*(1-M_Tax)</f>
        <v>114</v>
      </c>
    </row>
    <row r="31" spans="2:4" x14ac:dyDescent="0.2">
      <c r="B31" t="s">
        <v>675</v>
      </c>
      <c r="C31" s="21">
        <f>-M_NewDebt*M_DebtRate*(1-M_Tax)</f>
        <v>-129.54860985299999</v>
      </c>
    </row>
    <row r="32" spans="2:4" x14ac:dyDescent="0.2">
      <c r="B32" t="s">
        <v>676</v>
      </c>
      <c r="C32" s="21">
        <f>-M_CashUsed*M_CashRate*(1-M_Tax)</f>
        <v>-33.51870864</v>
      </c>
    </row>
    <row r="33" spans="2:7" x14ac:dyDescent="0.2">
      <c r="B33" t="s">
        <v>677</v>
      </c>
      <c r="C33" s="21">
        <f>-MAX(0,M_EqPrice-BookEquityJun)*M_PPA/M_PPA_Life*(1-M_Tax)</f>
        <v>-92.193885288000004</v>
      </c>
    </row>
    <row r="34" spans="2:7" x14ac:dyDescent="0.2">
      <c r="B34" t="s">
        <v>678</v>
      </c>
      <c r="C34" s="21">
        <f ca="1">M_A_NI+M_T_NI+M_Syn_AT+M_Int_AT+M_Forgone_AT+M_Amort_AT</f>
        <v>1785.3435611602097</v>
      </c>
    </row>
    <row r="35" spans="2:7" x14ac:dyDescent="0.2">
      <c r="B35" t="s">
        <v>679</v>
      </c>
      <c r="C35" s="29">
        <f>M_A_Shares+M_NewShares</f>
        <v>183.71020105263159</v>
      </c>
    </row>
    <row r="36" spans="2:7" x14ac:dyDescent="0.2">
      <c r="B36" t="s">
        <v>680</v>
      </c>
      <c r="C36" s="27">
        <f ca="1">M_PF_NI/M_PF_Shares</f>
        <v>9.7182603411811748</v>
      </c>
    </row>
    <row r="37" spans="2:7" x14ac:dyDescent="0.2">
      <c r="B37" t="s">
        <v>681</v>
      </c>
      <c r="C37" s="24">
        <f ca="1">M_PF_EPS/M_A_EPS-1</f>
        <v>0.16727447165143361</v>
      </c>
    </row>
    <row r="38" spans="2:7" x14ac:dyDescent="0.2">
      <c r="B38" t="s">
        <v>682</v>
      </c>
      <c r="C38" s="21">
        <f ca="1">MAX(0,(M_A_EPS*M_PF_Shares-(M_PF_NI-M_Syn_AT))/(1-M_Tax))</f>
        <v>0</v>
      </c>
    </row>
    <row r="39" spans="2:7" x14ac:dyDescent="0.2">
      <c r="B39" t="s">
        <v>683</v>
      </c>
      <c r="C39" s="24">
        <f>M_NewShares/M_PF_Shares</f>
        <v>0.25871345619514663</v>
      </c>
    </row>
    <row r="40" spans="2:7" x14ac:dyDescent="0.2">
      <c r="B40" t="s">
        <v>684</v>
      </c>
      <c r="C40" s="24">
        <f ca="1">M_T_NI/(M_A_NI+M_T_NI)</f>
        <v>0.41150564595712619</v>
      </c>
      <c r="D40" s="2" t="s">
        <v>685</v>
      </c>
    </row>
    <row r="42" spans="2:7" x14ac:dyDescent="0.2">
      <c r="B42" s="3" t="s">
        <v>948</v>
      </c>
    </row>
    <row r="43" spans="2:7" x14ac:dyDescent="0.2">
      <c r="B43" s="3" t="s">
        <v>949</v>
      </c>
      <c r="C43" s="32">
        <v>0</v>
      </c>
      <c r="D43" s="32">
        <v>0.25</v>
      </c>
      <c r="E43" s="32">
        <v>0.5</v>
      </c>
      <c r="F43" s="32">
        <v>0.75</v>
      </c>
      <c r="G43" s="32">
        <v>1</v>
      </c>
    </row>
    <row r="44" spans="2:7" x14ac:dyDescent="0.2">
      <c r="B44" s="32">
        <v>0.15</v>
      </c>
      <c r="C44" s="58">
        <f t="shared" ref="C44:G49" ca="1" si="0">(M_A_NI+M_T_NI+M_Syn_AT-(((SharePrice*(1+$B44)*SharesDil)*(1-C$43))-MIN(((SharePrice*(1+$B44)*SharesDil)*(1-C$43)),MAX(0,M_A_Cash-M_A_MinCash)))*M_DebtRate*(1-M_Tax)-MIN(((SharePrice*(1+$B44)*SharesDil)*(1-C$43)),MAX(0,M_A_Cash-M_A_MinCash))*M_CashRate*(1-M_Tax)-MAX(0,(SharePrice*(1+$B44)*SharesDil)-BookEquityJun)*M_PPA/M_PPA_Life*(1-M_Tax))/(M_A_Shares+(SharePrice*(1+$B44)*SharesDil)*C$43/M_A_Price)/M_A_EPS-1</f>
        <v>0.46133750761528414</v>
      </c>
      <c r="D44" s="58">
        <f t="shared" ca="1" si="0"/>
        <v>0.32810727929460914</v>
      </c>
      <c r="E44" s="58">
        <f t="shared" ca="1" si="0"/>
        <v>0.2263065953367005</v>
      </c>
      <c r="F44" s="58">
        <f t="shared" ca="1" si="0"/>
        <v>0.14598732466443565</v>
      </c>
      <c r="G44" s="58">
        <f t="shared" ca="1" si="0"/>
        <v>6.9575644216995691E-2</v>
      </c>
    </row>
    <row r="45" spans="2:7" x14ac:dyDescent="0.2">
      <c r="B45" s="32">
        <v>0.2</v>
      </c>
      <c r="C45" s="58">
        <f t="shared" ca="1" si="0"/>
        <v>0.445011346459246</v>
      </c>
      <c r="D45" s="58">
        <f t="shared" ca="1" si="0"/>
        <v>0.30905709706369788</v>
      </c>
      <c r="E45" s="58">
        <f t="shared" ca="1" si="0"/>
        <v>0.20622966916261642</v>
      </c>
      <c r="F45" s="58">
        <f t="shared" ca="1" si="0"/>
        <v>0.12573634896830987</v>
      </c>
      <c r="G45" s="58">
        <f t="shared" ca="1" si="0"/>
        <v>4.9776602493956101E-2</v>
      </c>
    </row>
    <row r="46" spans="2:7" x14ac:dyDescent="0.2">
      <c r="B46" s="32">
        <v>0.25</v>
      </c>
      <c r="C46" s="58">
        <f t="shared" ca="1" si="0"/>
        <v>0.42868518530320832</v>
      </c>
      <c r="D46" s="58">
        <f t="shared" ca="1" si="0"/>
        <v>0.29022588927757131</v>
      </c>
      <c r="E46" s="58">
        <f t="shared" ca="1" si="0"/>
        <v>0.18655631030451958</v>
      </c>
      <c r="F46" s="58">
        <f t="shared" ca="1" si="0"/>
        <v>0.10602782326964477</v>
      </c>
      <c r="G46" s="58">
        <f t="shared" ca="1" si="0"/>
        <v>3.0613688432222785E-2</v>
      </c>
    </row>
    <row r="47" spans="2:7" x14ac:dyDescent="0.2">
      <c r="B47" s="32">
        <v>0.3</v>
      </c>
      <c r="C47" s="58">
        <f t="shared" ca="1" si="0"/>
        <v>0.41235902414717063</v>
      </c>
      <c r="D47" s="58">
        <f t="shared" ca="1" si="0"/>
        <v>0.27160990197213364</v>
      </c>
      <c r="E47" s="58">
        <f t="shared" ca="1" si="0"/>
        <v>0.16727447165143361</v>
      </c>
      <c r="F47" s="58">
        <f t="shared" ca="1" si="0"/>
        <v>8.6840240225919185E-2</v>
      </c>
      <c r="G47" s="58">
        <f t="shared" ca="1" si="0"/>
        <v>1.2056729321283211E-2</v>
      </c>
    </row>
    <row r="48" spans="2:7" x14ac:dyDescent="0.2">
      <c r="B48" s="32">
        <v>0.35</v>
      </c>
      <c r="C48" s="58">
        <f t="shared" ca="1" si="0"/>
        <v>0.39603286299113227</v>
      </c>
      <c r="D48" s="58">
        <f t="shared" ca="1" si="0"/>
        <v>0.2532054665032879</v>
      </c>
      <c r="E48" s="58">
        <f t="shared" ca="1" si="0"/>
        <v>0.14837258086807559</v>
      </c>
      <c r="F48" s="58">
        <f t="shared" ca="1" si="0"/>
        <v>6.8153214643321469E-2</v>
      </c>
      <c r="G48" s="58">
        <f t="shared" ca="1" si="0"/>
        <v>-5.9225690530022579E-3</v>
      </c>
    </row>
    <row r="49" spans="2:7" x14ac:dyDescent="0.2">
      <c r="B49" s="32">
        <v>0.4</v>
      </c>
      <c r="C49" s="58">
        <f t="shared" ca="1" si="0"/>
        <v>0.37970670183509481</v>
      </c>
      <c r="D49" s="58">
        <f t="shared" ca="1" si="0"/>
        <v>0.23500899713669132</v>
      </c>
      <c r="E49" s="58">
        <f t="shared" ca="1" si="0"/>
        <v>0.12983951723445153</v>
      </c>
      <c r="F49" s="58">
        <f t="shared" ca="1" si="0"/>
        <v>4.9947411233732142E-2</v>
      </c>
      <c r="G49" s="58">
        <f t="shared" ca="1" si="0"/>
        <v>-2.335076635747968E-2</v>
      </c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S108"/>
  <sheetViews>
    <sheetView showGridLines="0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2.75" x14ac:dyDescent="0.2"/>
  <cols>
    <col min="1" max="1" width="2.7109375" customWidth="1"/>
    <col min="2" max="2" width="46.7109375" customWidth="1"/>
    <col min="3" max="3" width="7.7109375" customWidth="1"/>
    <col min="4" max="4" width="34.7109375" customWidth="1"/>
    <col min="5" max="19" width="11.28515625" customWidth="1"/>
  </cols>
  <sheetData>
    <row r="1" spans="2:19" x14ac:dyDescent="0.2">
      <c r="B1" s="1" t="s">
        <v>686</v>
      </c>
    </row>
    <row r="2" spans="2:19" x14ac:dyDescent="0.2">
      <c r="B2" s="2" t="s">
        <v>1</v>
      </c>
    </row>
    <row r="4" spans="2:19" x14ac:dyDescent="0.2">
      <c r="B4" s="3" t="s">
        <v>2</v>
      </c>
      <c r="C4" s="3" t="s">
        <v>3</v>
      </c>
      <c r="D4" s="3" t="s">
        <v>687</v>
      </c>
      <c r="E4" s="13" t="s">
        <v>4</v>
      </c>
      <c r="F4" s="13" t="s">
        <v>5</v>
      </c>
      <c r="G4" s="13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3" t="s">
        <v>18</v>
      </c>
    </row>
    <row r="6" spans="2:19" x14ac:dyDescent="0.2">
      <c r="B6" s="3" t="s">
        <v>276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</row>
    <row r="7" spans="2:19" x14ac:dyDescent="0.2">
      <c r="B7" t="s">
        <v>21</v>
      </c>
      <c r="D7" s="2" t="s">
        <v>688</v>
      </c>
      <c r="E7" s="35">
        <v>2313.4160000000002</v>
      </c>
      <c r="F7" s="35">
        <v>3554.9850000000001</v>
      </c>
      <c r="G7" s="35">
        <v>3962.3470000000002</v>
      </c>
      <c r="H7" s="35">
        <v>4102.1080000000002</v>
      </c>
      <c r="I7" s="35">
        <v>4040.6469999999999</v>
      </c>
      <c r="J7" s="21"/>
      <c r="K7" s="21"/>
      <c r="L7" s="21"/>
      <c r="M7" s="21"/>
      <c r="N7" s="21"/>
      <c r="O7" s="21"/>
      <c r="P7" s="21"/>
      <c r="Q7" s="21"/>
      <c r="R7" s="21"/>
      <c r="S7" s="21"/>
    </row>
    <row r="8" spans="2:19" x14ac:dyDescent="0.2">
      <c r="B8" t="s">
        <v>278</v>
      </c>
      <c r="D8" s="2" t="s">
        <v>688</v>
      </c>
      <c r="E8" s="35">
        <v>893.19600000000003</v>
      </c>
      <c r="F8" s="35">
        <v>1694.703</v>
      </c>
      <c r="G8" s="35">
        <v>1752.337</v>
      </c>
      <c r="H8" s="35">
        <v>1691.85</v>
      </c>
      <c r="I8" s="35">
        <v>1683.5920000000001</v>
      </c>
      <c r="J8" s="21"/>
      <c r="K8" s="21"/>
      <c r="L8" s="21"/>
      <c r="M8" s="21"/>
      <c r="N8" s="21"/>
      <c r="O8" s="21"/>
      <c r="P8" s="21"/>
      <c r="Q8" s="21"/>
      <c r="R8" s="21"/>
      <c r="S8" s="21"/>
    </row>
    <row r="9" spans="2:19" x14ac:dyDescent="0.2">
      <c r="B9" t="s">
        <v>279</v>
      </c>
      <c r="D9" s="2" t="s">
        <v>688</v>
      </c>
      <c r="E9" s="35">
        <v>1420.22</v>
      </c>
      <c r="F9" s="35">
        <v>1860.2819999999999</v>
      </c>
      <c r="G9" s="35">
        <v>2210.0100000000002</v>
      </c>
      <c r="H9" s="35">
        <v>2410.2579999999998</v>
      </c>
      <c r="I9" s="35">
        <v>2357.0549999999998</v>
      </c>
      <c r="J9" s="21"/>
      <c r="K9" s="21"/>
      <c r="L9" s="21"/>
      <c r="M9" s="21"/>
      <c r="N9" s="21"/>
      <c r="O9" s="21"/>
      <c r="P9" s="21"/>
      <c r="Q9" s="21"/>
      <c r="R9" s="21"/>
      <c r="S9" s="21"/>
    </row>
    <row r="10" spans="2:19" x14ac:dyDescent="0.2">
      <c r="B10" t="s">
        <v>689</v>
      </c>
      <c r="D10" s="2" t="s">
        <v>688</v>
      </c>
      <c r="E10" s="35">
        <v>737.15599999999995</v>
      </c>
      <c r="F10" s="35">
        <v>1009.526</v>
      </c>
      <c r="G10" s="35">
        <v>1163.94</v>
      </c>
      <c r="H10" s="35">
        <v>1364.2650000000001</v>
      </c>
      <c r="I10" s="35">
        <v>1469.425</v>
      </c>
      <c r="J10" s="21"/>
      <c r="K10" s="21"/>
      <c r="L10" s="21"/>
      <c r="M10" s="21"/>
      <c r="N10" s="21"/>
      <c r="O10" s="21"/>
      <c r="P10" s="21"/>
      <c r="Q10" s="21"/>
      <c r="R10" s="21"/>
      <c r="S10" s="21"/>
    </row>
    <row r="11" spans="2:19" x14ac:dyDescent="0.2">
      <c r="B11" t="s">
        <v>283</v>
      </c>
      <c r="D11" s="2" t="s">
        <v>688</v>
      </c>
      <c r="E11" s="35">
        <v>0</v>
      </c>
      <c r="F11" s="35">
        <v>0</v>
      </c>
      <c r="G11" s="35">
        <v>9.2870000000000008</v>
      </c>
      <c r="H11" s="35">
        <v>24.081</v>
      </c>
      <c r="I11" s="35">
        <v>738.11500000000001</v>
      </c>
      <c r="J11" s="21"/>
      <c r="K11" s="21"/>
      <c r="L11" s="21"/>
      <c r="M11" s="21"/>
      <c r="N11" s="21"/>
      <c r="O11" s="21"/>
      <c r="P11" s="21"/>
      <c r="Q11" s="21"/>
      <c r="R11" s="21"/>
      <c r="S11" s="21"/>
    </row>
    <row r="12" spans="2:19" x14ac:dyDescent="0.2">
      <c r="B12" t="s">
        <v>284</v>
      </c>
      <c r="D12" s="2" t="s">
        <v>688</v>
      </c>
      <c r="E12" s="35">
        <v>683.06399999999996</v>
      </c>
      <c r="F12" s="35">
        <v>850.75599999999997</v>
      </c>
      <c r="G12" s="35">
        <v>1036.7829999999999</v>
      </c>
      <c r="H12" s="35">
        <v>1021.9109999999999</v>
      </c>
      <c r="I12" s="35">
        <v>149.51499999999999</v>
      </c>
      <c r="J12" s="21"/>
      <c r="K12" s="21"/>
      <c r="L12" s="21"/>
      <c r="M12" s="21"/>
      <c r="N12" s="21"/>
      <c r="O12" s="21"/>
      <c r="P12" s="21"/>
      <c r="Q12" s="21"/>
      <c r="R12" s="21"/>
      <c r="S12" s="21"/>
    </row>
    <row r="13" spans="2:19" x14ac:dyDescent="0.2">
      <c r="B13" t="s">
        <v>286</v>
      </c>
      <c r="D13" s="2" t="s">
        <v>688</v>
      </c>
      <c r="E13" s="35">
        <v>0.77500000000000002</v>
      </c>
      <c r="F13" s="35">
        <v>1.02</v>
      </c>
      <c r="G13" s="35">
        <v>2.4060000000000001</v>
      </c>
      <c r="H13" s="35">
        <v>3.484</v>
      </c>
      <c r="I13" s="35">
        <v>1.8440000000000001</v>
      </c>
      <c r="J13" s="21"/>
      <c r="K13" s="21"/>
      <c r="L13" s="21"/>
      <c r="M13" s="21"/>
      <c r="N13" s="21"/>
      <c r="O13" s="21"/>
      <c r="P13" s="21"/>
      <c r="Q13" s="21"/>
      <c r="R13" s="21"/>
      <c r="S13" s="21"/>
    </row>
    <row r="14" spans="2:19" x14ac:dyDescent="0.2">
      <c r="B14" t="s">
        <v>287</v>
      </c>
      <c r="D14" s="2" t="s">
        <v>688</v>
      </c>
      <c r="E14" s="35">
        <v>21.646999999999998</v>
      </c>
      <c r="F14" s="35">
        <v>136.15799999999999</v>
      </c>
      <c r="G14" s="35">
        <v>161.351</v>
      </c>
      <c r="H14" s="35">
        <v>109.264</v>
      </c>
      <c r="I14" s="35">
        <v>88.287000000000006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2:19" x14ac:dyDescent="0.2">
      <c r="B15" t="s">
        <v>288</v>
      </c>
      <c r="D15" s="2" t="s">
        <v>688</v>
      </c>
      <c r="E15" s="35">
        <v>1.657</v>
      </c>
      <c r="F15" s="35">
        <v>2.89</v>
      </c>
      <c r="G15" s="35">
        <v>-1.5660000000000001</v>
      </c>
      <c r="H15" s="35">
        <v>-5.5460000000000003</v>
      </c>
      <c r="I15" s="35">
        <v>9.9060000000000006</v>
      </c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2:19" x14ac:dyDescent="0.2">
      <c r="B16" t="s">
        <v>289</v>
      </c>
      <c r="D16" s="2" t="s">
        <v>688</v>
      </c>
      <c r="E16" s="35">
        <v>663.84900000000005</v>
      </c>
      <c r="F16" s="35">
        <v>718.50800000000004</v>
      </c>
      <c r="G16" s="35">
        <v>876.27200000000005</v>
      </c>
      <c r="H16" s="35">
        <v>910.58500000000004</v>
      </c>
      <c r="I16" s="35">
        <v>72.977999999999994</v>
      </c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2:19" x14ac:dyDescent="0.2">
      <c r="B17" t="s">
        <v>290</v>
      </c>
      <c r="D17" s="2" t="s">
        <v>688</v>
      </c>
      <c r="E17" s="35">
        <v>-61.844999999999999</v>
      </c>
      <c r="F17" s="35">
        <v>178.34899999999999</v>
      </c>
      <c r="G17" s="35">
        <v>83.706000000000003</v>
      </c>
      <c r="H17" s="35">
        <v>-39.485999999999997</v>
      </c>
      <c r="I17" s="35">
        <v>154.17599999999999</v>
      </c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2:19" x14ac:dyDescent="0.2">
      <c r="B18" t="s">
        <v>292</v>
      </c>
      <c r="D18" s="2" t="s">
        <v>688</v>
      </c>
      <c r="E18" s="35">
        <v>725.69399999999996</v>
      </c>
      <c r="F18" s="35">
        <v>540.15899999999999</v>
      </c>
      <c r="G18" s="35">
        <v>792.56600000000003</v>
      </c>
      <c r="H18" s="35">
        <v>950.07100000000003</v>
      </c>
      <c r="I18" s="35">
        <v>-81.197999999999993</v>
      </c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2:19" x14ac:dyDescent="0.2">
      <c r="B19" t="s">
        <v>293</v>
      </c>
      <c r="D19" s="2" t="s">
        <v>688</v>
      </c>
      <c r="E19" s="34">
        <v>63.718000000000004</v>
      </c>
      <c r="F19" s="34">
        <v>62.006</v>
      </c>
      <c r="G19" s="34">
        <v>61.951999999999998</v>
      </c>
      <c r="H19" s="34">
        <v>59.832000000000001</v>
      </c>
      <c r="I19" s="34">
        <v>54.207999999999998</v>
      </c>
      <c r="J19" s="29"/>
      <c r="K19" s="29"/>
      <c r="L19" s="29"/>
      <c r="M19" s="29"/>
      <c r="N19" s="29"/>
      <c r="O19" s="29"/>
      <c r="P19" s="29"/>
      <c r="Q19" s="29"/>
      <c r="R19" s="29"/>
      <c r="S19" s="29"/>
    </row>
    <row r="20" spans="2:19" x14ac:dyDescent="0.2">
      <c r="B20" t="s">
        <v>294</v>
      </c>
      <c r="D20" s="2" t="s">
        <v>688</v>
      </c>
      <c r="E20" s="36">
        <v>11.39</v>
      </c>
      <c r="F20" s="36">
        <v>8.7100000000000009</v>
      </c>
      <c r="G20" s="36">
        <v>12.79</v>
      </c>
      <c r="H20" s="36">
        <v>15.88</v>
      </c>
      <c r="I20" s="36">
        <v>-1.5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</row>
    <row r="21" spans="2:19" x14ac:dyDescent="0.2">
      <c r="B21" t="s">
        <v>301</v>
      </c>
      <c r="D21" s="2" t="s">
        <v>688</v>
      </c>
      <c r="E21" s="35">
        <v>31.975999999999999</v>
      </c>
      <c r="F21" s="35">
        <v>39.228999999999999</v>
      </c>
      <c r="G21" s="35">
        <v>54.304000000000002</v>
      </c>
      <c r="H21" s="35">
        <v>69.84</v>
      </c>
      <c r="I21" s="35">
        <v>79.281999999999996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2:19" x14ac:dyDescent="0.2">
      <c r="B22" t="s">
        <v>690</v>
      </c>
      <c r="D22" s="2" t="s">
        <v>688</v>
      </c>
      <c r="E22" s="35">
        <v>17.033999999999999</v>
      </c>
      <c r="F22" s="35">
        <v>19.587</v>
      </c>
      <c r="G22" s="35">
        <v>22.619</v>
      </c>
      <c r="H22" s="35">
        <v>22.934000000000001</v>
      </c>
      <c r="I22" s="35">
        <v>23.571000000000002</v>
      </c>
      <c r="J22" s="21"/>
      <c r="K22" s="21"/>
      <c r="L22" s="21"/>
      <c r="M22" s="21"/>
      <c r="N22" s="21"/>
      <c r="O22" s="21"/>
      <c r="P22" s="21"/>
      <c r="Q22" s="21"/>
      <c r="R22" s="21"/>
      <c r="S22" s="21"/>
    </row>
    <row r="23" spans="2:19" x14ac:dyDescent="0.2">
      <c r="B23" t="s">
        <v>354</v>
      </c>
      <c r="D23" s="2" t="s">
        <v>688</v>
      </c>
      <c r="E23" s="35">
        <v>38.122</v>
      </c>
      <c r="F23" s="35">
        <v>31.303000000000001</v>
      </c>
      <c r="G23" s="35">
        <v>29.071999999999999</v>
      </c>
      <c r="H23" s="35">
        <v>33.052999999999997</v>
      </c>
      <c r="I23" s="35">
        <v>36.701000000000001</v>
      </c>
      <c r="J23" s="21"/>
      <c r="K23" s="21"/>
      <c r="L23" s="21"/>
      <c r="M23" s="21"/>
      <c r="N23" s="21"/>
      <c r="O23" s="21"/>
      <c r="P23" s="21"/>
      <c r="Q23" s="21"/>
      <c r="R23" s="21"/>
      <c r="S23" s="21"/>
    </row>
    <row r="24" spans="2:19" x14ac:dyDescent="0.2">
      <c r="B24" t="s">
        <v>691</v>
      </c>
      <c r="D24" s="2" t="s">
        <v>688</v>
      </c>
      <c r="E24" s="35">
        <v>58.283000000000001</v>
      </c>
      <c r="F24" s="35">
        <v>66.012</v>
      </c>
      <c r="G24" s="35">
        <v>79.543000000000006</v>
      </c>
      <c r="H24" s="35">
        <v>85.13</v>
      </c>
      <c r="I24" s="35">
        <v>104.313</v>
      </c>
      <c r="J24" s="21"/>
      <c r="K24" s="21"/>
      <c r="L24" s="21"/>
      <c r="M24" s="21"/>
      <c r="N24" s="21"/>
      <c r="O24" s="21"/>
      <c r="P24" s="21"/>
      <c r="Q24" s="21"/>
      <c r="R24" s="21"/>
      <c r="S24" s="21"/>
    </row>
    <row r="25" spans="2:19" x14ac:dyDescent="0.2">
      <c r="B25" t="s">
        <v>692</v>
      </c>
      <c r="D25" s="2" t="s">
        <v>688</v>
      </c>
      <c r="E25" s="35">
        <v>172.7</v>
      </c>
      <c r="F25" s="35">
        <v>260.8</v>
      </c>
      <c r="G25" s="35">
        <v>317.39999999999998</v>
      </c>
      <c r="H25" s="35">
        <v>377.5</v>
      </c>
      <c r="I25" s="35">
        <v>393.7</v>
      </c>
      <c r="J25" s="21"/>
      <c r="K25" s="21"/>
      <c r="L25" s="21"/>
      <c r="M25" s="21"/>
      <c r="N25" s="21"/>
      <c r="O25" s="21"/>
      <c r="P25" s="21"/>
      <c r="Q25" s="21"/>
      <c r="R25" s="21"/>
      <c r="S25" s="21"/>
    </row>
    <row r="26" spans="2:19" x14ac:dyDescent="0.2">
      <c r="B26" s="3" t="s">
        <v>693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</row>
    <row r="27" spans="2:19" x14ac:dyDescent="0.2">
      <c r="B27" t="s">
        <v>694</v>
      </c>
      <c r="D27" s="2" t="s">
        <v>695</v>
      </c>
      <c r="E27" s="35">
        <v>6.3620000000000001</v>
      </c>
      <c r="F27" s="35">
        <v>100.435</v>
      </c>
      <c r="G27" s="35">
        <v>3.0249999999999999</v>
      </c>
      <c r="H27" s="35">
        <v>0</v>
      </c>
      <c r="I27" s="35">
        <v>0</v>
      </c>
      <c r="J27" s="21"/>
      <c r="K27" s="21"/>
      <c r="L27" s="21"/>
      <c r="M27" s="21"/>
      <c r="N27" s="21"/>
      <c r="O27" s="21"/>
      <c r="P27" s="21"/>
      <c r="Q27" s="21"/>
      <c r="R27" s="21"/>
      <c r="S27" s="21"/>
    </row>
    <row r="28" spans="2:19" x14ac:dyDescent="0.2">
      <c r="B28" t="s">
        <v>304</v>
      </c>
      <c r="D28" s="2" t="s">
        <v>696</v>
      </c>
      <c r="E28" s="35">
        <v>689.42600000000004</v>
      </c>
      <c r="F28" s="35">
        <v>951.19100000000003</v>
      </c>
      <c r="G28" s="35">
        <v>1049.095</v>
      </c>
      <c r="H28" s="35">
        <v>1045.992</v>
      </c>
      <c r="I28" s="35">
        <v>887.63</v>
      </c>
      <c r="J28" s="21"/>
      <c r="K28" s="21"/>
      <c r="L28" s="21"/>
      <c r="M28" s="21"/>
      <c r="N28" s="21"/>
      <c r="O28" s="21"/>
      <c r="P28" s="21"/>
      <c r="Q28" s="21"/>
      <c r="R28" s="21"/>
      <c r="S28" s="21"/>
    </row>
    <row r="29" spans="2:19" x14ac:dyDescent="0.2">
      <c r="B29" t="s">
        <v>306</v>
      </c>
      <c r="D29" s="2" t="s">
        <v>697</v>
      </c>
      <c r="E29" s="35">
        <v>695.26199999999994</v>
      </c>
      <c r="F29" s="35">
        <v>986.33199999999999</v>
      </c>
      <c r="G29" s="35">
        <v>1098.6369999999999</v>
      </c>
      <c r="H29" s="35">
        <v>1050.258</v>
      </c>
      <c r="I29" s="35">
        <v>900.66700000000003</v>
      </c>
      <c r="J29" s="21"/>
      <c r="K29" s="21"/>
      <c r="L29" s="21"/>
      <c r="M29" s="21"/>
      <c r="N29" s="21"/>
      <c r="O29" s="21"/>
      <c r="P29" s="21"/>
      <c r="Q29" s="21"/>
      <c r="R29" s="21"/>
      <c r="S29" s="21"/>
    </row>
    <row r="30" spans="2:19" x14ac:dyDescent="0.2">
      <c r="B30" t="s">
        <v>698</v>
      </c>
      <c r="D30" s="2" t="s">
        <v>699</v>
      </c>
      <c r="E30" s="35">
        <v>529.83600000000001</v>
      </c>
      <c r="F30" s="35">
        <v>677.32799999999997</v>
      </c>
      <c r="G30" s="35">
        <v>745.57899999999995</v>
      </c>
      <c r="H30" s="35">
        <v>787.86199999999997</v>
      </c>
      <c r="I30" s="35">
        <v>682.88</v>
      </c>
      <c r="J30" s="21"/>
      <c r="K30" s="21"/>
      <c r="L30" s="21"/>
      <c r="M30" s="21"/>
      <c r="N30" s="21"/>
      <c r="O30" s="21"/>
      <c r="P30" s="21"/>
      <c r="Q30" s="21"/>
      <c r="R30" s="21"/>
      <c r="S30" s="21"/>
    </row>
    <row r="31" spans="2:19" x14ac:dyDescent="0.2">
      <c r="B31" s="3" t="s">
        <v>315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spans="2:19" x14ac:dyDescent="0.2">
      <c r="B32" t="s">
        <v>317</v>
      </c>
      <c r="D32" s="2" t="s">
        <v>700</v>
      </c>
      <c r="E32" s="35">
        <v>213.197</v>
      </c>
      <c r="F32" s="35">
        <v>191.62899999999999</v>
      </c>
      <c r="G32" s="35">
        <v>149.28800000000001</v>
      </c>
      <c r="H32" s="35">
        <v>180.48500000000001</v>
      </c>
      <c r="I32" s="35">
        <v>130.35400000000001</v>
      </c>
      <c r="J32" s="21"/>
      <c r="K32" s="21"/>
      <c r="L32" s="21"/>
      <c r="M32" s="21"/>
      <c r="N32" s="21"/>
      <c r="O32" s="21"/>
      <c r="P32" s="21"/>
      <c r="Q32" s="21"/>
      <c r="R32" s="21"/>
      <c r="S32" s="21"/>
    </row>
    <row r="33" spans="2:19" x14ac:dyDescent="0.2">
      <c r="B33" t="s">
        <v>318</v>
      </c>
      <c r="D33" s="2" t="s">
        <v>700</v>
      </c>
      <c r="E33" s="35">
        <v>182.62899999999999</v>
      </c>
      <c r="F33" s="35">
        <v>295.59399999999999</v>
      </c>
      <c r="G33" s="35">
        <v>305.74700000000001</v>
      </c>
      <c r="H33" s="35">
        <v>257.65699999999998</v>
      </c>
      <c r="I33" s="35">
        <v>278.19099999999997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4" spans="2:19" x14ac:dyDescent="0.2">
      <c r="B34" t="s">
        <v>319</v>
      </c>
      <c r="D34" s="2" t="s">
        <v>700</v>
      </c>
      <c r="E34" s="35">
        <v>213.52</v>
      </c>
      <c r="F34" s="35">
        <v>471.55099999999999</v>
      </c>
      <c r="G34" s="35">
        <v>385.05399999999997</v>
      </c>
      <c r="H34" s="35">
        <v>356.25400000000002</v>
      </c>
      <c r="I34" s="35">
        <v>368.68700000000001</v>
      </c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2:19" x14ac:dyDescent="0.2">
      <c r="B35" t="s">
        <v>320</v>
      </c>
      <c r="D35" s="2" t="s">
        <v>700</v>
      </c>
      <c r="E35" s="35">
        <v>22.300999999999998</v>
      </c>
      <c r="F35" s="35">
        <v>14.752000000000001</v>
      </c>
      <c r="G35" s="35">
        <v>4.4130000000000003</v>
      </c>
      <c r="H35" s="35">
        <v>4.0460000000000003</v>
      </c>
      <c r="I35" s="35">
        <v>32.781999999999996</v>
      </c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2:19" x14ac:dyDescent="0.2">
      <c r="B36" t="s">
        <v>321</v>
      </c>
      <c r="D36" s="2" t="s">
        <v>701</v>
      </c>
      <c r="E36" s="35">
        <v>34.921999999999997</v>
      </c>
      <c r="F36" s="35">
        <v>52.448999999999998</v>
      </c>
      <c r="G36" s="35">
        <v>66.201999999999998</v>
      </c>
      <c r="H36" s="35">
        <v>73.826999999999998</v>
      </c>
      <c r="I36" s="35">
        <v>75.869</v>
      </c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37" spans="2:19" x14ac:dyDescent="0.2">
      <c r="B37" t="s">
        <v>322</v>
      </c>
      <c r="D37" s="2" t="s">
        <v>700</v>
      </c>
      <c r="E37" s="35">
        <v>666.56899999999996</v>
      </c>
      <c r="F37" s="35">
        <v>1025.9749999999999</v>
      </c>
      <c r="G37" s="35">
        <v>910.70399999999995</v>
      </c>
      <c r="H37" s="35">
        <v>872.26900000000001</v>
      </c>
      <c r="I37" s="35">
        <v>885.88300000000004</v>
      </c>
      <c r="J37" s="21"/>
      <c r="K37" s="21"/>
      <c r="L37" s="21"/>
      <c r="M37" s="21"/>
      <c r="N37" s="21"/>
      <c r="O37" s="21"/>
      <c r="P37" s="21"/>
      <c r="Q37" s="21"/>
      <c r="R37" s="21"/>
      <c r="S37" s="21"/>
    </row>
    <row r="38" spans="2:19" x14ac:dyDescent="0.2">
      <c r="B38" t="s">
        <v>323</v>
      </c>
      <c r="D38" s="2" t="s">
        <v>700</v>
      </c>
      <c r="E38" s="35">
        <v>108.398</v>
      </c>
      <c r="F38" s="35">
        <v>181.529</v>
      </c>
      <c r="G38" s="35">
        <v>238.315</v>
      </c>
      <c r="H38" s="35">
        <v>244.33500000000001</v>
      </c>
      <c r="I38" s="35">
        <v>238.191</v>
      </c>
      <c r="J38" s="21"/>
      <c r="K38" s="21"/>
      <c r="L38" s="21"/>
      <c r="M38" s="21"/>
      <c r="N38" s="21"/>
      <c r="O38" s="21"/>
      <c r="P38" s="21"/>
      <c r="Q38" s="21"/>
      <c r="R38" s="21"/>
      <c r="S38" s="21"/>
    </row>
    <row r="39" spans="2:19" x14ac:dyDescent="0.2">
      <c r="B39" t="s">
        <v>324</v>
      </c>
      <c r="D39" s="2" t="s">
        <v>700</v>
      </c>
      <c r="E39" s="35">
        <v>160.768</v>
      </c>
      <c r="F39" s="35">
        <v>239.905</v>
      </c>
      <c r="G39" s="35">
        <v>287.44</v>
      </c>
      <c r="H39" s="35">
        <v>307.22800000000001</v>
      </c>
      <c r="I39" s="35">
        <v>338.66899999999998</v>
      </c>
      <c r="J39" s="21"/>
      <c r="K39" s="21"/>
      <c r="L39" s="21"/>
      <c r="M39" s="21"/>
      <c r="N39" s="21"/>
      <c r="O39" s="21"/>
      <c r="P39" s="21"/>
      <c r="Q39" s="21"/>
      <c r="R39" s="21"/>
      <c r="S39" s="21"/>
    </row>
    <row r="40" spans="2:19" x14ac:dyDescent="0.2">
      <c r="B40" t="s">
        <v>325</v>
      </c>
      <c r="D40" s="2" t="s">
        <v>700</v>
      </c>
      <c r="E40" s="35">
        <v>1.6</v>
      </c>
      <c r="F40" s="35">
        <v>714.81399999999996</v>
      </c>
      <c r="G40" s="35">
        <v>711.58799999999997</v>
      </c>
      <c r="H40" s="35">
        <v>711.49099999999999</v>
      </c>
      <c r="I40" s="35">
        <v>404.68900000000002</v>
      </c>
      <c r="J40" s="21"/>
      <c r="K40" s="21"/>
      <c r="L40" s="21"/>
      <c r="M40" s="21"/>
      <c r="N40" s="21"/>
      <c r="O40" s="21"/>
      <c r="P40" s="21"/>
      <c r="Q40" s="21"/>
      <c r="R40" s="21"/>
      <c r="S40" s="21"/>
    </row>
    <row r="41" spans="2:19" x14ac:dyDescent="0.2">
      <c r="B41" t="s">
        <v>326</v>
      </c>
      <c r="D41" s="2" t="s">
        <v>700</v>
      </c>
      <c r="E41" s="35">
        <v>28.802</v>
      </c>
      <c r="F41" s="35">
        <v>1800.1669999999999</v>
      </c>
      <c r="G41" s="35">
        <v>1792.5619999999999</v>
      </c>
      <c r="H41" s="35">
        <v>1777.08</v>
      </c>
      <c r="I41" s="35">
        <v>1324.68</v>
      </c>
      <c r="J41" s="21"/>
      <c r="K41" s="21"/>
      <c r="L41" s="21"/>
      <c r="M41" s="21"/>
      <c r="N41" s="21"/>
      <c r="O41" s="21"/>
      <c r="P41" s="21"/>
      <c r="Q41" s="21"/>
      <c r="R41" s="21"/>
      <c r="S41" s="21"/>
    </row>
    <row r="42" spans="2:19" x14ac:dyDescent="0.2">
      <c r="B42" t="s">
        <v>702</v>
      </c>
      <c r="D42" s="2" t="s">
        <v>703</v>
      </c>
      <c r="E42" s="35">
        <v>24.984000000000002</v>
      </c>
      <c r="F42" s="35">
        <v>222.405</v>
      </c>
      <c r="G42" s="35">
        <v>212.78700000000001</v>
      </c>
      <c r="H42" s="35">
        <v>193.44300000000001</v>
      </c>
      <c r="I42" s="35">
        <v>181.23099999999999</v>
      </c>
      <c r="J42" s="21"/>
      <c r="K42" s="21"/>
      <c r="L42" s="21"/>
      <c r="M42" s="21"/>
      <c r="N42" s="21"/>
      <c r="O42" s="21"/>
      <c r="P42" s="21"/>
      <c r="Q42" s="21"/>
      <c r="R42" s="21"/>
      <c r="S42" s="21"/>
    </row>
    <row r="43" spans="2:19" x14ac:dyDescent="0.2">
      <c r="B43" t="s">
        <v>327</v>
      </c>
      <c r="D43" s="2" t="s">
        <v>700</v>
      </c>
      <c r="E43" s="35">
        <v>567.20100000000002</v>
      </c>
      <c r="F43" s="35">
        <v>528.27800000000002</v>
      </c>
      <c r="G43" s="35">
        <v>667.97199999999998</v>
      </c>
      <c r="H43" s="35">
        <v>872.35</v>
      </c>
      <c r="I43" s="35">
        <v>935.05399999999997</v>
      </c>
      <c r="J43" s="21"/>
      <c r="K43" s="21"/>
      <c r="L43" s="21"/>
      <c r="M43" s="21"/>
      <c r="N43" s="21"/>
      <c r="O43" s="21"/>
      <c r="P43" s="21"/>
      <c r="Q43" s="21"/>
      <c r="R43" s="21"/>
      <c r="S43" s="21"/>
    </row>
    <row r="44" spans="2:19" x14ac:dyDescent="0.2">
      <c r="B44" t="s">
        <v>328</v>
      </c>
      <c r="D44" s="2" t="s">
        <v>700</v>
      </c>
      <c r="E44" s="35">
        <v>11.73</v>
      </c>
      <c r="F44" s="35">
        <v>11.129</v>
      </c>
      <c r="G44" s="35">
        <v>35.253</v>
      </c>
      <c r="H44" s="35">
        <v>27.4</v>
      </c>
      <c r="I44" s="35">
        <v>47.584000000000003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</row>
    <row r="45" spans="2:19" x14ac:dyDescent="0.2">
      <c r="B45" t="s">
        <v>329</v>
      </c>
      <c r="D45" s="2" t="s">
        <v>700</v>
      </c>
      <c r="E45" s="35">
        <v>1545.068</v>
      </c>
      <c r="F45" s="35">
        <v>4501.7969999999996</v>
      </c>
      <c r="G45" s="35">
        <v>4643.8339999999998</v>
      </c>
      <c r="H45" s="35">
        <v>4812.1530000000002</v>
      </c>
      <c r="I45" s="35">
        <v>4174.75</v>
      </c>
      <c r="J45" s="21"/>
      <c r="K45" s="21"/>
      <c r="L45" s="21"/>
      <c r="M45" s="21"/>
      <c r="N45" s="21"/>
      <c r="O45" s="21"/>
      <c r="P45" s="21"/>
      <c r="Q45" s="21"/>
      <c r="R45" s="21"/>
      <c r="S45" s="21"/>
    </row>
    <row r="46" spans="2:19" x14ac:dyDescent="0.2">
      <c r="B46" t="s">
        <v>331</v>
      </c>
      <c r="D46" s="2" t="s">
        <v>700</v>
      </c>
      <c r="E46" s="35">
        <v>162.14500000000001</v>
      </c>
      <c r="F46" s="35">
        <v>230.821</v>
      </c>
      <c r="G46" s="35">
        <v>260.97800000000001</v>
      </c>
      <c r="H46" s="35">
        <v>264.90100000000001</v>
      </c>
      <c r="I46" s="35">
        <v>266.08999999999997</v>
      </c>
      <c r="J46" s="21"/>
      <c r="K46" s="21"/>
      <c r="L46" s="21"/>
      <c r="M46" s="21"/>
      <c r="N46" s="21"/>
      <c r="O46" s="21"/>
      <c r="P46" s="21"/>
      <c r="Q46" s="21"/>
      <c r="R46" s="21"/>
      <c r="S46" s="21"/>
    </row>
    <row r="47" spans="2:19" x14ac:dyDescent="0.2">
      <c r="B47" t="s">
        <v>332</v>
      </c>
      <c r="D47" s="2" t="s">
        <v>700</v>
      </c>
      <c r="E47" s="35">
        <v>166.887</v>
      </c>
      <c r="F47" s="35">
        <v>239.42400000000001</v>
      </c>
      <c r="G47" s="35">
        <v>285.77100000000002</v>
      </c>
      <c r="H47" s="35">
        <v>298.06799999999998</v>
      </c>
      <c r="I47" s="35">
        <v>300.959</v>
      </c>
      <c r="J47" s="21"/>
      <c r="K47" s="21"/>
      <c r="L47" s="21"/>
      <c r="M47" s="21"/>
      <c r="N47" s="21"/>
      <c r="O47" s="21"/>
      <c r="P47" s="21"/>
      <c r="Q47" s="21"/>
      <c r="R47" s="21"/>
      <c r="S47" s="21"/>
    </row>
    <row r="48" spans="2:19" x14ac:dyDescent="0.2">
      <c r="B48" t="s">
        <v>333</v>
      </c>
      <c r="D48" s="2" t="s">
        <v>700</v>
      </c>
      <c r="E48" s="35">
        <v>16.279</v>
      </c>
      <c r="F48" s="35">
        <v>89.210999999999999</v>
      </c>
      <c r="G48" s="35">
        <v>65.951999999999998</v>
      </c>
      <c r="H48" s="35">
        <v>108.688</v>
      </c>
      <c r="I48" s="35">
        <v>47.308</v>
      </c>
      <c r="J48" s="21"/>
      <c r="K48" s="21"/>
      <c r="L48" s="21"/>
      <c r="M48" s="21"/>
      <c r="N48" s="21"/>
      <c r="O48" s="21"/>
      <c r="P48" s="21"/>
      <c r="Q48" s="21"/>
      <c r="R48" s="21"/>
      <c r="S48" s="21"/>
    </row>
    <row r="49" spans="2:19" x14ac:dyDescent="0.2">
      <c r="B49" t="s">
        <v>334</v>
      </c>
      <c r="D49" s="2" t="s">
        <v>700</v>
      </c>
      <c r="E49" s="35">
        <v>42.932000000000002</v>
      </c>
      <c r="F49" s="35">
        <v>57.456000000000003</v>
      </c>
      <c r="G49" s="35">
        <v>62.267000000000003</v>
      </c>
      <c r="H49" s="35">
        <v>68.551000000000002</v>
      </c>
      <c r="I49" s="35">
        <v>85.772000000000006</v>
      </c>
      <c r="J49" s="21"/>
      <c r="K49" s="21"/>
      <c r="L49" s="21"/>
      <c r="M49" s="21"/>
      <c r="N49" s="21"/>
      <c r="O49" s="21"/>
      <c r="P49" s="21"/>
      <c r="Q49" s="21"/>
      <c r="R49" s="21"/>
      <c r="S49" s="21"/>
    </row>
    <row r="50" spans="2:19" x14ac:dyDescent="0.2">
      <c r="B50" t="s">
        <v>335</v>
      </c>
      <c r="D50" s="2" t="s">
        <v>700</v>
      </c>
      <c r="E50" s="35">
        <v>0</v>
      </c>
      <c r="F50" s="35">
        <v>24.361999999999998</v>
      </c>
      <c r="G50" s="35">
        <v>23.327999999999999</v>
      </c>
      <c r="H50" s="35">
        <v>0</v>
      </c>
      <c r="I50" s="35">
        <v>0</v>
      </c>
      <c r="J50" s="21"/>
      <c r="K50" s="21"/>
      <c r="L50" s="21"/>
      <c r="M50" s="21"/>
      <c r="N50" s="21"/>
      <c r="O50" s="21"/>
      <c r="P50" s="21"/>
      <c r="Q50" s="21"/>
      <c r="R50" s="21"/>
      <c r="S50" s="21"/>
    </row>
    <row r="51" spans="2:19" x14ac:dyDescent="0.2">
      <c r="B51" t="s">
        <v>336</v>
      </c>
      <c r="D51" s="2" t="s">
        <v>700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21"/>
      <c r="K51" s="21"/>
      <c r="L51" s="21"/>
      <c r="M51" s="21"/>
      <c r="N51" s="21"/>
      <c r="O51" s="21"/>
      <c r="P51" s="21"/>
      <c r="Q51" s="21"/>
      <c r="R51" s="21"/>
      <c r="S51" s="21"/>
    </row>
    <row r="52" spans="2:19" x14ac:dyDescent="0.2">
      <c r="B52" t="s">
        <v>337</v>
      </c>
      <c r="D52" s="2" t="s">
        <v>700</v>
      </c>
      <c r="E52" s="35">
        <v>388.24299999999999</v>
      </c>
      <c r="F52" s="35">
        <v>641.274</v>
      </c>
      <c r="G52" s="35">
        <v>698.29600000000005</v>
      </c>
      <c r="H52" s="35">
        <v>740.20799999999997</v>
      </c>
      <c r="I52" s="35">
        <v>700.12900000000002</v>
      </c>
      <c r="J52" s="21"/>
      <c r="K52" s="21"/>
      <c r="L52" s="21"/>
      <c r="M52" s="21"/>
      <c r="N52" s="21"/>
      <c r="O52" s="21"/>
      <c r="P52" s="21"/>
      <c r="Q52" s="21"/>
      <c r="R52" s="21"/>
      <c r="S52" s="21"/>
    </row>
    <row r="53" spans="2:19" x14ac:dyDescent="0.2">
      <c r="B53" t="s">
        <v>338</v>
      </c>
      <c r="D53" s="2" t="s">
        <v>700</v>
      </c>
      <c r="E53" s="35">
        <v>771.39</v>
      </c>
      <c r="F53" s="35">
        <v>2298.027</v>
      </c>
      <c r="G53" s="35">
        <v>1640.9960000000001</v>
      </c>
      <c r="H53" s="35">
        <v>1349.3389999999999</v>
      </c>
      <c r="I53" s="35">
        <v>1230.885</v>
      </c>
      <c r="J53" s="21"/>
      <c r="K53" s="21"/>
      <c r="L53" s="21"/>
      <c r="M53" s="21"/>
      <c r="N53" s="21"/>
      <c r="O53" s="21"/>
      <c r="P53" s="21"/>
      <c r="Q53" s="21"/>
      <c r="R53" s="21"/>
      <c r="S53" s="21"/>
    </row>
    <row r="54" spans="2:19" x14ac:dyDescent="0.2">
      <c r="B54" t="s">
        <v>339</v>
      </c>
      <c r="D54" s="2" t="s">
        <v>700</v>
      </c>
      <c r="E54" s="35">
        <v>149.23699999999999</v>
      </c>
      <c r="F54" s="35">
        <v>215.119</v>
      </c>
      <c r="G54" s="35">
        <v>269.76900000000001</v>
      </c>
      <c r="H54" s="35">
        <v>283.40600000000001</v>
      </c>
      <c r="I54" s="35">
        <v>297.19200000000001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</row>
    <row r="55" spans="2:19" x14ac:dyDescent="0.2">
      <c r="B55" t="s">
        <v>340</v>
      </c>
      <c r="D55" s="2" t="s">
        <v>700</v>
      </c>
      <c r="E55" s="35">
        <v>219.56800000000001</v>
      </c>
      <c r="F55" s="35">
        <v>224.83699999999999</v>
      </c>
      <c r="G55" s="35">
        <v>565.17100000000005</v>
      </c>
      <c r="H55" s="35">
        <v>595.43399999999997</v>
      </c>
      <c r="I55" s="35">
        <v>649.05700000000002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</row>
    <row r="56" spans="2:19" x14ac:dyDescent="0.2">
      <c r="B56" t="s">
        <v>341</v>
      </c>
      <c r="D56" s="2" t="s">
        <v>700</v>
      </c>
      <c r="E56" s="35">
        <v>0.17599999999999999</v>
      </c>
      <c r="F56" s="35">
        <v>302.02999999999997</v>
      </c>
      <c r="G56" s="35">
        <v>12.912000000000001</v>
      </c>
      <c r="H56" s="35">
        <v>4.0860000000000003</v>
      </c>
      <c r="I56" s="35">
        <v>0.88200000000000001</v>
      </c>
      <c r="J56" s="21"/>
      <c r="K56" s="21"/>
      <c r="L56" s="21"/>
      <c r="M56" s="21"/>
      <c r="N56" s="21"/>
      <c r="O56" s="21"/>
      <c r="P56" s="21"/>
      <c r="Q56" s="21"/>
      <c r="R56" s="21"/>
      <c r="S56" s="21"/>
    </row>
    <row r="57" spans="2:19" x14ac:dyDescent="0.2">
      <c r="B57" t="s">
        <v>342</v>
      </c>
      <c r="D57" s="2" t="s">
        <v>700</v>
      </c>
      <c r="E57" s="35">
        <v>2.3719999999999999</v>
      </c>
      <c r="F57" s="35">
        <v>2.5790000000000002</v>
      </c>
      <c r="G57" s="35">
        <v>2.7669999999999999</v>
      </c>
      <c r="H57" s="35">
        <v>3.948</v>
      </c>
      <c r="I57" s="35">
        <v>3.3220000000000001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</row>
    <row r="58" spans="2:19" x14ac:dyDescent="0.2">
      <c r="B58" t="s">
        <v>343</v>
      </c>
      <c r="D58" s="2" t="s">
        <v>700</v>
      </c>
      <c r="E58" s="35">
        <v>1530.9860000000001</v>
      </c>
      <c r="F58" s="35">
        <v>3683.866</v>
      </c>
      <c r="G58" s="35">
        <v>3189.9110000000001</v>
      </c>
      <c r="H58" s="35">
        <v>2976.4209999999998</v>
      </c>
      <c r="I58" s="35">
        <v>2881.4670000000001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</row>
    <row r="59" spans="2:19" x14ac:dyDescent="0.2">
      <c r="B59" t="s">
        <v>345</v>
      </c>
      <c r="D59" s="2" t="s">
        <v>700</v>
      </c>
      <c r="E59" s="35">
        <v>14.082000000000001</v>
      </c>
      <c r="F59" s="35">
        <v>817.93100000000004</v>
      </c>
      <c r="G59" s="35">
        <v>1453.923</v>
      </c>
      <c r="H59" s="35">
        <v>1835.732</v>
      </c>
      <c r="I59" s="35">
        <v>1293.2829999999999</v>
      </c>
      <c r="J59" s="21"/>
      <c r="K59" s="21"/>
      <c r="L59" s="21"/>
      <c r="M59" s="21"/>
      <c r="N59" s="21"/>
      <c r="O59" s="21"/>
      <c r="P59" s="21"/>
      <c r="Q59" s="21"/>
      <c r="R59" s="21"/>
      <c r="S59" s="21"/>
    </row>
    <row r="60" spans="2:19" x14ac:dyDescent="0.2">
      <c r="B60" t="s">
        <v>704</v>
      </c>
      <c r="D60" s="2" t="s">
        <v>700</v>
      </c>
      <c r="E60" s="34">
        <v>58.3</v>
      </c>
      <c r="F60" s="34">
        <v>61.7</v>
      </c>
      <c r="G60" s="34">
        <v>60.5</v>
      </c>
      <c r="H60" s="34">
        <v>56.5</v>
      </c>
      <c r="I60" s="34">
        <v>50.2</v>
      </c>
      <c r="J60" s="29"/>
      <c r="K60" s="29"/>
      <c r="L60" s="29"/>
      <c r="M60" s="29"/>
      <c r="N60" s="29"/>
      <c r="O60" s="29"/>
      <c r="P60" s="29"/>
      <c r="Q60" s="29"/>
      <c r="R60" s="29"/>
      <c r="S60" s="29"/>
    </row>
    <row r="61" spans="2:19" x14ac:dyDescent="0.2">
      <c r="B61" t="s">
        <v>705</v>
      </c>
      <c r="D61" s="2" t="s">
        <v>706</v>
      </c>
      <c r="E61" s="35">
        <v>13.61</v>
      </c>
      <c r="F61" s="35">
        <v>56.972999999999999</v>
      </c>
      <c r="G61" s="35">
        <v>49.003999999999998</v>
      </c>
      <c r="H61" s="35">
        <v>40.661000000000001</v>
      </c>
      <c r="I61" s="35">
        <v>31.114999999999998</v>
      </c>
      <c r="J61" s="21"/>
      <c r="K61" s="21"/>
      <c r="L61" s="21"/>
      <c r="M61" s="21"/>
      <c r="N61" s="21"/>
      <c r="O61" s="21"/>
      <c r="P61" s="21"/>
      <c r="Q61" s="21"/>
      <c r="R61" s="21"/>
      <c r="S61" s="21"/>
    </row>
    <row r="62" spans="2:19" x14ac:dyDescent="0.2">
      <c r="B62" s="3" t="s">
        <v>351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2:19" x14ac:dyDescent="0.2">
      <c r="B63" t="s">
        <v>292</v>
      </c>
      <c r="D63" s="2" t="s">
        <v>707</v>
      </c>
      <c r="E63" s="35">
        <v>725.69399999999996</v>
      </c>
      <c r="F63" s="35">
        <v>540.15899999999999</v>
      </c>
      <c r="G63" s="35">
        <v>792.56600000000003</v>
      </c>
      <c r="H63" s="35">
        <v>950.07100000000003</v>
      </c>
      <c r="I63" s="35">
        <v>-81.197999999999993</v>
      </c>
      <c r="J63" s="21"/>
      <c r="K63" s="21"/>
      <c r="L63" s="21"/>
      <c r="M63" s="21"/>
      <c r="N63" s="21"/>
      <c r="O63" s="21"/>
      <c r="P63" s="21"/>
      <c r="Q63" s="21"/>
      <c r="R63" s="21"/>
      <c r="S63" s="21"/>
    </row>
    <row r="64" spans="2:19" x14ac:dyDescent="0.2">
      <c r="B64" t="s">
        <v>301</v>
      </c>
      <c r="D64" s="2" t="s">
        <v>707</v>
      </c>
      <c r="E64" s="35">
        <v>31.975999999999999</v>
      </c>
      <c r="F64" s="35">
        <v>39.228999999999999</v>
      </c>
      <c r="G64" s="35">
        <v>54.304000000000002</v>
      </c>
      <c r="H64" s="35">
        <v>69.84</v>
      </c>
      <c r="I64" s="35">
        <v>79.281999999999996</v>
      </c>
      <c r="J64" s="21"/>
      <c r="K64" s="21"/>
      <c r="L64" s="21"/>
      <c r="M64" s="21"/>
      <c r="N64" s="21"/>
      <c r="O64" s="21"/>
      <c r="P64" s="21"/>
      <c r="Q64" s="21"/>
      <c r="R64" s="21"/>
      <c r="S64" s="21"/>
    </row>
    <row r="65" spans="2:19" x14ac:dyDescent="0.2">
      <c r="B65" t="s">
        <v>354</v>
      </c>
      <c r="D65" s="2" t="s">
        <v>707</v>
      </c>
      <c r="E65" s="35">
        <v>38.122</v>
      </c>
      <c r="F65" s="35">
        <v>31.303000000000001</v>
      </c>
      <c r="G65" s="35">
        <v>29.071999999999999</v>
      </c>
      <c r="H65" s="35">
        <v>33.052999999999997</v>
      </c>
      <c r="I65" s="35">
        <v>36.701000000000001</v>
      </c>
      <c r="J65" s="21"/>
      <c r="K65" s="21"/>
      <c r="L65" s="21"/>
      <c r="M65" s="21"/>
      <c r="N65" s="21"/>
      <c r="O65" s="21"/>
      <c r="P65" s="21"/>
      <c r="Q65" s="21"/>
      <c r="R65" s="21"/>
      <c r="S65" s="21"/>
    </row>
    <row r="66" spans="2:19" x14ac:dyDescent="0.2">
      <c r="B66" t="s">
        <v>283</v>
      </c>
      <c r="D66" s="2" t="s">
        <v>707</v>
      </c>
      <c r="E66" s="35">
        <v>0</v>
      </c>
      <c r="F66" s="35">
        <v>0</v>
      </c>
      <c r="G66" s="35">
        <v>9.2870000000000008</v>
      </c>
      <c r="H66" s="35">
        <v>24.081</v>
      </c>
      <c r="I66" s="35">
        <v>738.11500000000001</v>
      </c>
      <c r="J66" s="21"/>
      <c r="K66" s="21"/>
      <c r="L66" s="21"/>
      <c r="M66" s="21"/>
      <c r="N66" s="21"/>
      <c r="O66" s="21"/>
      <c r="P66" s="21"/>
      <c r="Q66" s="21"/>
      <c r="R66" s="21"/>
      <c r="S66" s="21"/>
    </row>
    <row r="67" spans="2:19" x14ac:dyDescent="0.2">
      <c r="B67" t="s">
        <v>355</v>
      </c>
      <c r="D67" s="2" t="s">
        <v>707</v>
      </c>
      <c r="E67" s="35">
        <v>-241.28299999999999</v>
      </c>
      <c r="F67" s="35">
        <v>-4.76</v>
      </c>
      <c r="G67" s="35">
        <v>-410.31900000000002</v>
      </c>
      <c r="H67" s="35">
        <v>-254.45400000000001</v>
      </c>
      <c r="I67" s="35">
        <v>47.093000000000004</v>
      </c>
      <c r="J67" s="21"/>
      <c r="K67" s="21"/>
      <c r="L67" s="21"/>
      <c r="M67" s="21"/>
      <c r="N67" s="21"/>
      <c r="O67" s="21"/>
      <c r="P67" s="21"/>
      <c r="Q67" s="21"/>
      <c r="R67" s="21"/>
      <c r="S67" s="21"/>
    </row>
    <row r="68" spans="2:19" x14ac:dyDescent="0.2">
      <c r="B68" t="s">
        <v>708</v>
      </c>
      <c r="D68" s="2" t="s">
        <v>707</v>
      </c>
      <c r="E68" s="35">
        <v>12.656000000000001</v>
      </c>
      <c r="F68" s="35">
        <v>-2.7890000000000001</v>
      </c>
      <c r="G68" s="35">
        <v>455.53399999999999</v>
      </c>
      <c r="H68" s="35">
        <v>169.89500000000001</v>
      </c>
      <c r="I68" s="35">
        <v>-109.562</v>
      </c>
      <c r="J68" s="21"/>
      <c r="K68" s="21"/>
      <c r="L68" s="21"/>
      <c r="M68" s="21"/>
      <c r="N68" s="21"/>
      <c r="O68" s="21"/>
      <c r="P68" s="21"/>
      <c r="Q68" s="21"/>
      <c r="R68" s="21"/>
      <c r="S68" s="21"/>
    </row>
    <row r="69" spans="2:19" x14ac:dyDescent="0.2">
      <c r="B69" t="s">
        <v>363</v>
      </c>
      <c r="D69" s="2" t="s">
        <v>707</v>
      </c>
      <c r="E69" s="35">
        <v>567.16499999999996</v>
      </c>
      <c r="F69" s="35">
        <v>603.14200000000005</v>
      </c>
      <c r="G69" s="35">
        <v>930.44399999999996</v>
      </c>
      <c r="H69" s="35">
        <v>992.48599999999999</v>
      </c>
      <c r="I69" s="35">
        <v>710.43100000000004</v>
      </c>
      <c r="J69" s="21"/>
      <c r="K69" s="21"/>
      <c r="L69" s="21"/>
      <c r="M69" s="21"/>
      <c r="N69" s="21"/>
      <c r="O69" s="21"/>
      <c r="P69" s="21"/>
      <c r="Q69" s="21"/>
      <c r="R69" s="21"/>
      <c r="S69" s="21"/>
    </row>
    <row r="70" spans="2:19" x14ac:dyDescent="0.2">
      <c r="B70" t="s">
        <v>365</v>
      </c>
      <c r="D70" s="2" t="s">
        <v>707</v>
      </c>
      <c r="E70" s="35">
        <v>-55.915999999999997</v>
      </c>
      <c r="F70" s="35">
        <v>-104.19</v>
      </c>
      <c r="G70" s="35">
        <v>-115.625</v>
      </c>
      <c r="H70" s="35">
        <v>-69.346999999999994</v>
      </c>
      <c r="I70" s="35">
        <v>-51.231000000000002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</row>
    <row r="71" spans="2:19" x14ac:dyDescent="0.2">
      <c r="B71" t="s">
        <v>366</v>
      </c>
      <c r="D71" s="2" t="s">
        <v>707</v>
      </c>
      <c r="E71" s="35">
        <v>0</v>
      </c>
      <c r="F71" s="35">
        <v>-2046.8810000000001</v>
      </c>
      <c r="G71" s="35">
        <v>0</v>
      </c>
      <c r="H71" s="35">
        <v>0</v>
      </c>
      <c r="I71" s="35">
        <v>0</v>
      </c>
      <c r="J71" s="21"/>
      <c r="K71" s="21"/>
      <c r="L71" s="21"/>
      <c r="M71" s="21"/>
      <c r="N71" s="21"/>
      <c r="O71" s="21"/>
      <c r="P71" s="21"/>
      <c r="Q71" s="21"/>
      <c r="R71" s="21"/>
      <c r="S71" s="21"/>
    </row>
    <row r="72" spans="2:19" x14ac:dyDescent="0.2">
      <c r="B72" t="s">
        <v>367</v>
      </c>
      <c r="D72" s="2" t="s">
        <v>707</v>
      </c>
      <c r="E72" s="35">
        <v>-8.9999999999999993E-3</v>
      </c>
      <c r="F72" s="35">
        <v>-0.02</v>
      </c>
      <c r="G72" s="35">
        <v>-4.5999999999999999E-2</v>
      </c>
      <c r="H72" s="35">
        <v>0</v>
      </c>
      <c r="I72" s="35">
        <v>0</v>
      </c>
      <c r="J72" s="21"/>
      <c r="K72" s="21"/>
      <c r="L72" s="21"/>
      <c r="M72" s="21"/>
      <c r="N72" s="21"/>
      <c r="O72" s="21"/>
      <c r="P72" s="21"/>
      <c r="Q72" s="21"/>
      <c r="R72" s="21"/>
      <c r="S72" s="21"/>
    </row>
    <row r="73" spans="2:19" x14ac:dyDescent="0.2">
      <c r="B73" t="s">
        <v>368</v>
      </c>
      <c r="D73" s="2" t="s">
        <v>707</v>
      </c>
      <c r="E73" s="35">
        <v>-55.924999999999997</v>
      </c>
      <c r="F73" s="35">
        <v>-2151.0909999999999</v>
      </c>
      <c r="G73" s="35">
        <v>-115.67100000000001</v>
      </c>
      <c r="H73" s="35">
        <v>-69.346999999999994</v>
      </c>
      <c r="I73" s="35">
        <v>-51.231000000000002</v>
      </c>
      <c r="J73" s="21"/>
      <c r="K73" s="21"/>
      <c r="L73" s="21"/>
      <c r="M73" s="21"/>
      <c r="N73" s="21"/>
      <c r="O73" s="21"/>
      <c r="P73" s="21"/>
      <c r="Q73" s="21"/>
      <c r="R73" s="21"/>
      <c r="S73" s="21"/>
    </row>
    <row r="74" spans="2:19" x14ac:dyDescent="0.2">
      <c r="B74" t="s">
        <v>370</v>
      </c>
      <c r="D74" s="2" t="s">
        <v>707</v>
      </c>
      <c r="E74" s="35">
        <v>1090</v>
      </c>
      <c r="F74" s="35">
        <v>2169.8980000000001</v>
      </c>
      <c r="G74" s="35">
        <v>257.90499999999997</v>
      </c>
      <c r="H74" s="35">
        <v>102.15600000000001</v>
      </c>
      <c r="I74" s="35">
        <v>819</v>
      </c>
      <c r="J74" s="21"/>
      <c r="K74" s="21"/>
      <c r="L74" s="21"/>
      <c r="M74" s="21"/>
      <c r="N74" s="21"/>
      <c r="O74" s="21"/>
      <c r="P74" s="21"/>
      <c r="Q74" s="21"/>
      <c r="R74" s="21"/>
      <c r="S74" s="21"/>
    </row>
    <row r="75" spans="2:19" x14ac:dyDescent="0.2">
      <c r="B75" t="s">
        <v>371</v>
      </c>
      <c r="D75" s="2" t="s">
        <v>707</v>
      </c>
      <c r="E75" s="35">
        <v>-485</v>
      </c>
      <c r="F75" s="35">
        <v>-575.28499999999997</v>
      </c>
      <c r="G75" s="35">
        <v>-923.70299999999997</v>
      </c>
      <c r="H75" s="35">
        <v>-425.40499999999997</v>
      </c>
      <c r="I75" s="35">
        <v>-947</v>
      </c>
      <c r="J75" s="21"/>
      <c r="K75" s="21"/>
      <c r="L75" s="21"/>
      <c r="M75" s="21"/>
      <c r="N75" s="21"/>
      <c r="O75" s="21"/>
      <c r="P75" s="21"/>
      <c r="Q75" s="21"/>
      <c r="R75" s="21"/>
      <c r="S75" s="21"/>
    </row>
    <row r="76" spans="2:19" x14ac:dyDescent="0.2">
      <c r="B76" t="s">
        <v>32</v>
      </c>
      <c r="D76" s="2" t="s">
        <v>707</v>
      </c>
      <c r="E76" s="35">
        <v>-1000</v>
      </c>
      <c r="F76" s="35">
        <v>0</v>
      </c>
      <c r="G76" s="35">
        <v>-175.01900000000001</v>
      </c>
      <c r="H76" s="35">
        <v>-552.45100000000002</v>
      </c>
      <c r="I76" s="35">
        <v>-582.32000000000005</v>
      </c>
      <c r="J76" s="21"/>
      <c r="K76" s="21"/>
      <c r="L76" s="21"/>
      <c r="M76" s="21"/>
      <c r="N76" s="21"/>
      <c r="O76" s="21"/>
      <c r="P76" s="21"/>
      <c r="Q76" s="21"/>
      <c r="R76" s="21"/>
      <c r="S76" s="21"/>
    </row>
    <row r="77" spans="2:19" x14ac:dyDescent="0.2">
      <c r="B77" t="s">
        <v>372</v>
      </c>
      <c r="D77" s="2" t="s">
        <v>707</v>
      </c>
      <c r="E77" s="35">
        <v>-34.637999999999998</v>
      </c>
      <c r="F77" s="35">
        <v>-64.953999999999994</v>
      </c>
      <c r="G77" s="35">
        <v>-18.821999999999999</v>
      </c>
      <c r="H77" s="35">
        <v>-10.348000000000001</v>
      </c>
      <c r="I77" s="35">
        <v>-4.2450000000000001</v>
      </c>
      <c r="J77" s="21"/>
      <c r="K77" s="21"/>
      <c r="L77" s="21"/>
      <c r="M77" s="21"/>
      <c r="N77" s="21"/>
      <c r="O77" s="21"/>
      <c r="P77" s="21"/>
      <c r="Q77" s="21"/>
      <c r="R77" s="21"/>
      <c r="S77" s="21"/>
    </row>
    <row r="78" spans="2:19" x14ac:dyDescent="0.2">
      <c r="B78" t="s">
        <v>373</v>
      </c>
      <c r="D78" s="2" t="s">
        <v>707</v>
      </c>
      <c r="E78" s="35">
        <v>-429.63799999999998</v>
      </c>
      <c r="F78" s="35">
        <v>1529.6590000000001</v>
      </c>
      <c r="G78" s="35">
        <v>-859.63900000000001</v>
      </c>
      <c r="H78" s="35">
        <v>-886.048</v>
      </c>
      <c r="I78" s="35">
        <v>-714.56500000000005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</row>
    <row r="79" spans="2:19" x14ac:dyDescent="0.2">
      <c r="B79" t="s">
        <v>374</v>
      </c>
      <c r="D79" s="2" t="s">
        <v>707</v>
      </c>
      <c r="E79" s="35">
        <v>-3.95</v>
      </c>
      <c r="F79" s="35">
        <v>-3.75</v>
      </c>
      <c r="G79" s="35">
        <v>3.0779999999999998</v>
      </c>
      <c r="H79" s="35">
        <v>-6.51</v>
      </c>
      <c r="I79" s="35">
        <v>5.5979999999999999</v>
      </c>
      <c r="J79" s="21"/>
      <c r="K79" s="21"/>
      <c r="L79" s="21"/>
      <c r="M79" s="21"/>
      <c r="N79" s="21"/>
      <c r="O79" s="21"/>
      <c r="P79" s="21"/>
      <c r="Q79" s="21"/>
      <c r="R79" s="21"/>
      <c r="S79" s="21"/>
    </row>
    <row r="80" spans="2:19" x14ac:dyDescent="0.2">
      <c r="B80" t="s">
        <v>709</v>
      </c>
      <c r="D80" s="2" t="s">
        <v>707</v>
      </c>
      <c r="E80" s="35">
        <v>77.652000000000001</v>
      </c>
      <c r="F80" s="35">
        <v>-22.04</v>
      </c>
      <c r="G80" s="35">
        <v>-41.787999999999997</v>
      </c>
      <c r="H80" s="35">
        <v>30.581</v>
      </c>
      <c r="I80" s="35">
        <v>-49.767000000000003</v>
      </c>
      <c r="J80" s="21"/>
      <c r="K80" s="21"/>
      <c r="L80" s="21"/>
      <c r="M80" s="21"/>
      <c r="N80" s="21"/>
      <c r="O80" s="21"/>
      <c r="P80" s="21"/>
      <c r="Q80" s="21"/>
      <c r="R80" s="21"/>
      <c r="S80" s="21"/>
    </row>
    <row r="81" spans="2:19" x14ac:dyDescent="0.2">
      <c r="B81" t="s">
        <v>710</v>
      </c>
      <c r="D81" s="2" t="s">
        <v>707</v>
      </c>
      <c r="E81" s="35">
        <v>159.68</v>
      </c>
      <c r="F81" s="35">
        <v>130.084</v>
      </c>
      <c r="G81" s="35">
        <v>176.56399999999999</v>
      </c>
      <c r="H81" s="35">
        <v>122.678</v>
      </c>
      <c r="I81" s="35">
        <v>185.066</v>
      </c>
      <c r="J81" s="21"/>
      <c r="K81" s="21"/>
      <c r="L81" s="21"/>
      <c r="M81" s="21"/>
      <c r="N81" s="21"/>
      <c r="O81" s="21"/>
      <c r="P81" s="21"/>
      <c r="Q81" s="21"/>
      <c r="R81" s="21"/>
      <c r="S81" s="21"/>
    </row>
    <row r="82" spans="2:19" x14ac:dyDescent="0.2">
      <c r="B82" s="3" t="s">
        <v>711</v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spans="2:19" x14ac:dyDescent="0.2">
      <c r="B83" t="s">
        <v>712</v>
      </c>
      <c r="D83" s="2" t="s">
        <v>713</v>
      </c>
      <c r="E83" s="35">
        <v>674.23</v>
      </c>
      <c r="F83" s="35">
        <v>644.21500000000003</v>
      </c>
      <c r="G83" s="35">
        <v>652.94299999999998</v>
      </c>
      <c r="H83" s="35">
        <v>644.51099999999997</v>
      </c>
      <c r="I83" s="35">
        <v>584.67700000000002</v>
      </c>
      <c r="J83" s="21"/>
      <c r="K83" s="21"/>
      <c r="L83" s="21"/>
      <c r="M83" s="21"/>
      <c r="N83" s="21"/>
      <c r="O83" s="21"/>
      <c r="P83" s="21"/>
      <c r="Q83" s="21"/>
      <c r="R83" s="21"/>
      <c r="S83" s="21"/>
    </row>
    <row r="84" spans="2:19" x14ac:dyDescent="0.2">
      <c r="B84" t="s">
        <v>714</v>
      </c>
      <c r="D84" s="2" t="s">
        <v>713</v>
      </c>
      <c r="E84" s="35">
        <v>879.74800000000005</v>
      </c>
      <c r="F84" s="35">
        <v>1000.441</v>
      </c>
      <c r="G84" s="35">
        <v>1124.942</v>
      </c>
      <c r="H84" s="35">
        <v>1188.9110000000001</v>
      </c>
      <c r="I84" s="35">
        <v>1124.9580000000001</v>
      </c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spans="2:19" x14ac:dyDescent="0.2">
      <c r="B85" t="s">
        <v>715</v>
      </c>
      <c r="D85" s="2" t="s">
        <v>713</v>
      </c>
      <c r="E85" s="35">
        <v>499.851</v>
      </c>
      <c r="F85" s="35">
        <v>733.08699999999999</v>
      </c>
      <c r="G85" s="35">
        <v>840.59400000000005</v>
      </c>
      <c r="H85" s="35">
        <v>963.03499999999997</v>
      </c>
      <c r="I85" s="35">
        <v>1014.697</v>
      </c>
      <c r="J85" s="21"/>
      <c r="K85" s="21"/>
      <c r="L85" s="21"/>
      <c r="M85" s="21"/>
      <c r="N85" s="21"/>
      <c r="O85" s="21"/>
      <c r="P85" s="21"/>
      <c r="Q85" s="21"/>
      <c r="R85" s="21"/>
      <c r="S85" s="21"/>
    </row>
    <row r="86" spans="2:19" x14ac:dyDescent="0.2">
      <c r="B86" t="s">
        <v>716</v>
      </c>
      <c r="D86" s="2" t="s">
        <v>713</v>
      </c>
      <c r="E86" s="35">
        <v>259.58699999999999</v>
      </c>
      <c r="F86" s="35">
        <v>281.38200000000001</v>
      </c>
      <c r="G86" s="35">
        <v>394.47500000000002</v>
      </c>
      <c r="H86" s="35">
        <v>481.51</v>
      </c>
      <c r="I86" s="35">
        <v>601.47500000000002</v>
      </c>
      <c r="J86" s="21"/>
      <c r="K86" s="21"/>
      <c r="L86" s="21"/>
      <c r="M86" s="21"/>
      <c r="N86" s="21"/>
      <c r="O86" s="21"/>
      <c r="P86" s="21"/>
      <c r="Q86" s="21"/>
      <c r="R86" s="21"/>
      <c r="S86" s="21"/>
    </row>
    <row r="87" spans="2:19" x14ac:dyDescent="0.2">
      <c r="B87" t="s">
        <v>717</v>
      </c>
      <c r="D87" s="2" t="s">
        <v>713</v>
      </c>
      <c r="E87" s="35">
        <v>0</v>
      </c>
      <c r="F87" s="35">
        <v>574.14</v>
      </c>
      <c r="G87" s="35">
        <v>566.93700000000001</v>
      </c>
      <c r="H87" s="35">
        <v>456.47199999999998</v>
      </c>
      <c r="I87" s="35">
        <v>336.32499999999999</v>
      </c>
      <c r="J87" s="21"/>
      <c r="K87" s="21"/>
      <c r="L87" s="21"/>
      <c r="M87" s="21"/>
      <c r="N87" s="21"/>
      <c r="O87" s="21"/>
      <c r="P87" s="21"/>
      <c r="Q87" s="21"/>
      <c r="R87" s="21"/>
      <c r="S87" s="21"/>
    </row>
    <row r="88" spans="2:19" x14ac:dyDescent="0.2">
      <c r="B88" t="s">
        <v>718</v>
      </c>
      <c r="D88" s="2" t="s">
        <v>713</v>
      </c>
      <c r="E88" s="35">
        <v>0</v>
      </c>
      <c r="F88" s="35">
        <v>321.72000000000003</v>
      </c>
      <c r="G88" s="35">
        <v>382.45600000000002</v>
      </c>
      <c r="H88" s="35">
        <v>367.66899999999998</v>
      </c>
      <c r="I88" s="35">
        <v>378.51499999999999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</row>
    <row r="89" spans="2:19" x14ac:dyDescent="0.2">
      <c r="B89" s="3" t="s">
        <v>719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 spans="2:19" x14ac:dyDescent="0.2">
      <c r="B90" t="s">
        <v>23</v>
      </c>
      <c r="D90" s="2" t="s">
        <v>720</v>
      </c>
      <c r="E90" s="35">
        <v>2313.4160000000002</v>
      </c>
      <c r="F90" s="35">
        <v>2659.125</v>
      </c>
      <c r="G90" s="35">
        <v>3012.9540000000002</v>
      </c>
      <c r="H90" s="35">
        <v>3277.9670000000001</v>
      </c>
      <c r="I90" s="35">
        <v>3325.8069999999998</v>
      </c>
      <c r="J90" s="21"/>
      <c r="K90" s="21"/>
      <c r="L90" s="21"/>
      <c r="M90" s="21"/>
      <c r="N90" s="21"/>
      <c r="O90" s="21"/>
      <c r="P90" s="21"/>
      <c r="Q90" s="21"/>
      <c r="R90" s="21"/>
      <c r="S90" s="21"/>
    </row>
    <row r="91" spans="2:19" x14ac:dyDescent="0.2">
      <c r="B91" t="s">
        <v>721</v>
      </c>
      <c r="D91" s="2" t="s">
        <v>720</v>
      </c>
      <c r="F91" s="35">
        <v>1161.374</v>
      </c>
      <c r="G91" s="35">
        <v>1205.67</v>
      </c>
      <c r="H91" s="35">
        <v>1258.7270000000001</v>
      </c>
      <c r="I91" s="35">
        <v>1287.4469999999999</v>
      </c>
      <c r="J91" s="21"/>
      <c r="K91" s="21"/>
      <c r="L91" s="21"/>
      <c r="M91" s="21"/>
      <c r="N91" s="21"/>
      <c r="O91" s="21"/>
      <c r="P91" s="21"/>
      <c r="Q91" s="21"/>
      <c r="R91" s="21"/>
      <c r="S91" s="21"/>
    </row>
    <row r="92" spans="2:19" x14ac:dyDescent="0.2">
      <c r="B92" t="s">
        <v>296</v>
      </c>
      <c r="D92" s="2" t="s">
        <v>720</v>
      </c>
      <c r="F92" s="35">
        <v>645.726</v>
      </c>
      <c r="G92" s="35">
        <v>727.95399999999995</v>
      </c>
      <c r="H92" s="35">
        <v>837.22799999999995</v>
      </c>
      <c r="I92" s="35">
        <v>926.68100000000004</v>
      </c>
      <c r="J92" s="21"/>
      <c r="K92" s="21"/>
      <c r="L92" s="21"/>
      <c r="M92" s="21"/>
      <c r="N92" s="21"/>
      <c r="O92" s="21"/>
      <c r="P92" s="21"/>
      <c r="Q92" s="21"/>
      <c r="R92" s="21"/>
      <c r="S92" s="21"/>
    </row>
    <row r="93" spans="2:19" x14ac:dyDescent="0.2">
      <c r="B93" t="s">
        <v>310</v>
      </c>
      <c r="D93" s="2" t="s">
        <v>720</v>
      </c>
      <c r="E93" s="35">
        <v>861.39400000000001</v>
      </c>
      <c r="F93" s="35">
        <v>852.02499999999998</v>
      </c>
      <c r="G93" s="35">
        <v>1079.33</v>
      </c>
      <c r="H93" s="35">
        <v>1182.0119999999999</v>
      </c>
      <c r="I93" s="35">
        <v>1111.6790000000001</v>
      </c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spans="2:19" x14ac:dyDescent="0.2">
      <c r="B94" t="s">
        <v>24</v>
      </c>
      <c r="D94" s="2" t="s">
        <v>720</v>
      </c>
      <c r="E94" s="35">
        <v>0</v>
      </c>
      <c r="F94" s="35">
        <v>895.86</v>
      </c>
      <c r="G94" s="35">
        <v>949.39300000000003</v>
      </c>
      <c r="H94" s="35">
        <v>824.14099999999996</v>
      </c>
      <c r="I94" s="35">
        <v>714.84</v>
      </c>
      <c r="J94" s="21"/>
      <c r="K94" s="21"/>
      <c r="L94" s="21"/>
      <c r="M94" s="21"/>
      <c r="N94" s="21"/>
      <c r="O94" s="21"/>
      <c r="P94" s="21"/>
      <c r="Q94" s="21"/>
      <c r="R94" s="21"/>
      <c r="S94" s="21"/>
    </row>
    <row r="95" spans="2:19" x14ac:dyDescent="0.2">
      <c r="B95" t="s">
        <v>722</v>
      </c>
      <c r="D95" s="2" t="s">
        <v>720</v>
      </c>
      <c r="F95" s="35">
        <v>530.05899999999997</v>
      </c>
      <c r="G95" s="35">
        <v>531.41399999999999</v>
      </c>
      <c r="H95" s="35">
        <v>430.89299999999997</v>
      </c>
      <c r="I95" s="35">
        <v>394.80500000000001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spans="2:19" x14ac:dyDescent="0.2">
      <c r="B96" t="s">
        <v>297</v>
      </c>
      <c r="D96" s="2" t="s">
        <v>720</v>
      </c>
      <c r="F96" s="35">
        <v>154.44</v>
      </c>
      <c r="G96" s="35">
        <v>205.59299999999999</v>
      </c>
      <c r="H96" s="35">
        <v>250.40600000000001</v>
      </c>
      <c r="I96" s="35">
        <v>251.89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</row>
    <row r="97" spans="2:19" x14ac:dyDescent="0.2">
      <c r="B97" t="s">
        <v>723</v>
      </c>
      <c r="D97" s="2" t="s">
        <v>720</v>
      </c>
      <c r="E97" s="35">
        <v>0</v>
      </c>
      <c r="F97" s="35">
        <v>211.36099999999999</v>
      </c>
      <c r="G97" s="35">
        <v>212.386</v>
      </c>
      <c r="H97" s="35">
        <v>137.40100000000001</v>
      </c>
      <c r="I97" s="35">
        <v>-668.85500000000002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</row>
    <row r="98" spans="2:19" x14ac:dyDescent="0.2">
      <c r="B98" t="s">
        <v>724</v>
      </c>
      <c r="D98" s="2" t="s">
        <v>720</v>
      </c>
      <c r="E98" s="35">
        <v>-178.33</v>
      </c>
      <c r="F98" s="35">
        <v>-212.63</v>
      </c>
      <c r="G98" s="35">
        <v>-254.93299999999999</v>
      </c>
      <c r="H98" s="35">
        <v>-297.50200000000001</v>
      </c>
      <c r="I98" s="35">
        <v>-293.30900000000003</v>
      </c>
      <c r="J98" s="21"/>
      <c r="K98" s="21"/>
      <c r="L98" s="21"/>
      <c r="M98" s="21"/>
      <c r="N98" s="21"/>
      <c r="O98" s="21"/>
      <c r="P98" s="21"/>
      <c r="Q98" s="21"/>
      <c r="R98" s="21"/>
      <c r="S98" s="21"/>
    </row>
    <row r="99" spans="2:19" x14ac:dyDescent="0.2">
      <c r="B99" s="3" t="s">
        <v>725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</row>
    <row r="100" spans="2:19" x14ac:dyDescent="0.2">
      <c r="B100" t="s">
        <v>726</v>
      </c>
      <c r="D100" s="2" t="s">
        <v>727</v>
      </c>
      <c r="E100" s="34">
        <v>102.962</v>
      </c>
      <c r="F100" s="34">
        <v>115.55800000000001</v>
      </c>
      <c r="G100" s="34">
        <v>119.577</v>
      </c>
      <c r="H100" s="34">
        <v>127</v>
      </c>
      <c r="I100" s="34">
        <v>128.93799999999999</v>
      </c>
      <c r="J100" s="29"/>
      <c r="K100" s="29"/>
      <c r="L100" s="29"/>
      <c r="M100" s="29"/>
      <c r="N100" s="29"/>
      <c r="O100" s="29"/>
      <c r="P100" s="29"/>
      <c r="Q100" s="29"/>
      <c r="R100" s="29"/>
      <c r="S100" s="29"/>
    </row>
    <row r="101" spans="2:19" x14ac:dyDescent="0.2">
      <c r="B101" t="s">
        <v>269</v>
      </c>
      <c r="D101" s="2" t="s">
        <v>728</v>
      </c>
      <c r="E101" s="36">
        <v>22.27</v>
      </c>
      <c r="F101" s="36">
        <v>22.72</v>
      </c>
      <c r="G101" s="36">
        <v>24.92</v>
      </c>
      <c r="H101" s="36">
        <v>25.52</v>
      </c>
      <c r="I101" s="36">
        <v>25.4</v>
      </c>
      <c r="J101" s="27"/>
      <c r="K101" s="27"/>
      <c r="L101" s="27"/>
      <c r="M101" s="27"/>
      <c r="N101" s="27"/>
      <c r="O101" s="27"/>
      <c r="P101" s="27"/>
      <c r="Q101" s="27"/>
      <c r="R101" s="27"/>
      <c r="S101" s="27"/>
    </row>
    <row r="102" spans="2:19" x14ac:dyDescent="0.2">
      <c r="B102" t="s">
        <v>729</v>
      </c>
      <c r="D102" s="2" t="s">
        <v>727</v>
      </c>
      <c r="F102" s="34">
        <v>30.518999999999998</v>
      </c>
      <c r="G102" s="34">
        <v>32.969000000000001</v>
      </c>
      <c r="H102" s="34">
        <v>26.95</v>
      </c>
      <c r="I102" s="34">
        <v>22.457000000000001</v>
      </c>
      <c r="J102" s="29"/>
      <c r="K102" s="29"/>
      <c r="L102" s="29"/>
      <c r="M102" s="29"/>
      <c r="N102" s="29"/>
      <c r="O102" s="29"/>
      <c r="P102" s="29"/>
      <c r="Q102" s="29"/>
      <c r="R102" s="29"/>
      <c r="S102" s="29"/>
    </row>
    <row r="103" spans="2:19" x14ac:dyDescent="0.2">
      <c r="B103" t="s">
        <v>273</v>
      </c>
      <c r="D103" s="2" t="s">
        <v>728</v>
      </c>
      <c r="F103" s="36">
        <v>29.35</v>
      </c>
      <c r="G103" s="36">
        <v>28.8</v>
      </c>
      <c r="H103" s="36">
        <v>30.54</v>
      </c>
      <c r="I103" s="36">
        <v>31.67</v>
      </c>
      <c r="J103" s="27"/>
      <c r="K103" s="27"/>
      <c r="L103" s="27"/>
      <c r="M103" s="27"/>
      <c r="N103" s="27"/>
      <c r="O103" s="27"/>
      <c r="P103" s="27"/>
      <c r="Q103" s="27"/>
      <c r="R103" s="27"/>
      <c r="S103" s="27"/>
    </row>
    <row r="104" spans="2:19" x14ac:dyDescent="0.2">
      <c r="B104" s="3" t="s">
        <v>730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spans="2:19" x14ac:dyDescent="0.2">
      <c r="B105" t="s">
        <v>731</v>
      </c>
      <c r="D105" s="2" t="s">
        <v>732</v>
      </c>
      <c r="H105" s="35">
        <v>350</v>
      </c>
      <c r="I105" s="35">
        <v>350</v>
      </c>
      <c r="J105" s="21"/>
      <c r="K105" s="21"/>
      <c r="L105" s="21"/>
      <c r="M105" s="21"/>
      <c r="N105" s="21"/>
      <c r="O105" s="21"/>
      <c r="P105" s="21"/>
      <c r="Q105" s="21"/>
      <c r="R105" s="21"/>
      <c r="S105" s="21"/>
    </row>
    <row r="106" spans="2:19" x14ac:dyDescent="0.2">
      <c r="B106" t="s">
        <v>733</v>
      </c>
      <c r="D106" s="2" t="s">
        <v>732</v>
      </c>
      <c r="H106" s="35">
        <v>350</v>
      </c>
      <c r="I106" s="35">
        <v>350</v>
      </c>
      <c r="J106" s="21"/>
      <c r="K106" s="21"/>
      <c r="L106" s="21"/>
      <c r="M106" s="21"/>
      <c r="N106" s="21"/>
      <c r="O106" s="21"/>
      <c r="P106" s="21"/>
      <c r="Q106" s="21"/>
      <c r="R106" s="21"/>
      <c r="S106" s="21"/>
    </row>
    <row r="107" spans="2:19" x14ac:dyDescent="0.2">
      <c r="B107" t="s">
        <v>600</v>
      </c>
      <c r="D107" s="2" t="s">
        <v>732</v>
      </c>
      <c r="H107" s="35">
        <v>500</v>
      </c>
      <c r="I107" s="35">
        <v>500</v>
      </c>
      <c r="J107" s="21"/>
      <c r="K107" s="21"/>
      <c r="L107" s="21"/>
      <c r="M107" s="21"/>
      <c r="N107" s="21"/>
      <c r="O107" s="21"/>
      <c r="P107" s="21"/>
      <c r="Q107" s="21"/>
      <c r="R107" s="21"/>
      <c r="S107" s="21"/>
    </row>
    <row r="108" spans="2:19" x14ac:dyDescent="0.2">
      <c r="B108" t="s">
        <v>734</v>
      </c>
      <c r="D108" s="2" t="s">
        <v>732</v>
      </c>
      <c r="H108" s="35">
        <v>190</v>
      </c>
      <c r="I108" s="35">
        <v>62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</row>
  </sheetData>
  <pageMargins left="0.4" right="0.4" top="0.5" bottom="0.5" header="0.3" footer="0.3"/>
  <pageSetup paperSize="9" fitToHeight="0" orientation="landscape"/>
  <headerFooter>
    <oddFooter>&amp;LCrocs, Inc. (CROX) valuation model&amp;C&amp;A&amp;RPage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241</vt:i4>
      </vt:variant>
    </vt:vector>
  </HeadingPairs>
  <TitlesOfParts>
    <vt:vector size="265" baseType="lpstr">
      <vt:lpstr>Cover</vt:lpstr>
      <vt:lpstr>Dashboard</vt:lpstr>
      <vt:lpstr>Valuation</vt:lpstr>
      <vt:lpstr>Football_Field</vt:lpstr>
      <vt:lpstr>Inputs</vt:lpstr>
      <vt:lpstr>Rev_Build</vt:lpstr>
      <vt:lpstr>IS</vt:lpstr>
      <vt:lpstr>BS</vt:lpstr>
      <vt:lpstr>CF</vt:lpstr>
      <vt:lpstr>NWC</vt:lpstr>
      <vt:lpstr>Fixed_Assets</vt:lpstr>
      <vt:lpstr>Tax</vt:lpstr>
      <vt:lpstr>Debt</vt:lpstr>
      <vt:lpstr>Equity</vt:lpstr>
      <vt:lpstr>WACC</vt:lpstr>
      <vt:lpstr>DCF</vt:lpstr>
      <vt:lpstr>Sensitivity</vt:lpstr>
      <vt:lpstr>Comps</vt:lpstr>
      <vt:lpstr>Precedents</vt:lpstr>
      <vt:lpstr>LBO</vt:lpstr>
      <vt:lpstr>LBO_CF</vt:lpstr>
      <vt:lpstr>HEYDUDE</vt:lpstr>
      <vt:lpstr>Merger</vt:lpstr>
      <vt:lpstr>Hist</vt:lpstr>
      <vt:lpstr>BBSpread</vt:lpstr>
      <vt:lpstr>Beta</vt:lpstr>
      <vt:lpstr>Beta_2yDaily</vt:lpstr>
      <vt:lpstr>Beta_Blume</vt:lpstr>
      <vt:lpstr>Beta_BU_Relev</vt:lpstr>
      <vt:lpstr>Beta_BU_Unlev</vt:lpstr>
      <vt:lpstr>Beta_Raw</vt:lpstr>
      <vt:lpstr>BookEquityJun</vt:lpstr>
      <vt:lpstr>Br_Cash</vt:lpstr>
      <vt:lpstr>Br_Debt</vt:lpstr>
      <vt:lpstr>Br_UTP</vt:lpstr>
      <vt:lpstr>BuybackPxMode</vt:lpstr>
      <vt:lpstr>CashJun</vt:lpstr>
      <vt:lpstr>CashRate</vt:lpstr>
      <vt:lpstr>CircSwitch</vt:lpstr>
      <vt:lpstr>CommitFee</vt:lpstr>
      <vt:lpstr>Comps_EV_High</vt:lpstr>
      <vt:lpstr>Comps_EV_Low</vt:lpstr>
      <vt:lpstr>Comps_EV_Value</vt:lpstr>
      <vt:lpstr>Comps_PE_High</vt:lpstr>
      <vt:lpstr>Comps_PE_Low</vt:lpstr>
      <vt:lpstr>Comps_PE_Value</vt:lpstr>
      <vt:lpstr>Coupon_Notes29</vt:lpstr>
      <vt:lpstr>Coupon_Notes31</vt:lpstr>
      <vt:lpstr>Coverage26</vt:lpstr>
      <vt:lpstr>DCF_Base</vt:lpstr>
      <vt:lpstr>DCF_Bear</vt:lpstr>
      <vt:lpstr>DCF_Bull</vt:lpstr>
      <vt:lpstr>DCF_PW</vt:lpstr>
      <vt:lpstr>DE_Market</vt:lpstr>
      <vt:lpstr>DebtFace</vt:lpstr>
      <vt:lpstr>Dilution</vt:lpstr>
      <vt:lpstr>DTAYears</vt:lpstr>
      <vt:lpstr>Eq_Jun</vt:lpstr>
      <vt:lpstr>Eq_Sep</vt:lpstr>
      <vt:lpstr>ERP</vt:lpstr>
      <vt:lpstr>EV_DCF</vt:lpstr>
      <vt:lpstr>ExcessToBuybacks</vt:lpstr>
      <vt:lpstr>ExitMultiple</vt:lpstr>
      <vt:lpstr>FCFF_2035</vt:lpstr>
      <vt:lpstr>FCFF_TV</vt:lpstr>
      <vt:lpstr>FeeAmort</vt:lpstr>
      <vt:lpstr>GMShift</vt:lpstr>
      <vt:lpstr>GrowthShift</vt:lpstr>
      <vt:lpstr>H2Share</vt:lpstr>
      <vt:lpstr>HD_Carrying</vt:lpstr>
      <vt:lpstr>HD_Cash</vt:lpstr>
      <vt:lpstr>HD_CorpAlloc</vt:lpstr>
      <vt:lpstr>HD_CumNOPAT</vt:lpstr>
      <vt:lpstr>HD_Destroyed</vt:lpstr>
      <vt:lpstr>HD_Destroyed_PS</vt:lpstr>
      <vt:lpstr>HD_EBITDA21</vt:lpstr>
      <vt:lpstr>HD_EBITDA26</vt:lpstr>
      <vt:lpstr>HD_EntryMult</vt:lpstr>
      <vt:lpstr>HD_FV</vt:lpstr>
      <vt:lpstr>HD_Goodwill0</vt:lpstr>
      <vt:lpstr>HD_Headline</vt:lpstr>
      <vt:lpstr>HD_Headroom</vt:lpstr>
      <vt:lpstr>HD_Impair25</vt:lpstr>
      <vt:lpstr>HD_Mult_Today</vt:lpstr>
      <vt:lpstr>HD_Paid</vt:lpstr>
      <vt:lpstr>HD_Premium</vt:lpstr>
      <vt:lpstr>HD_Reinvest</vt:lpstr>
      <vt:lpstr>HD_ROIC_25</vt:lpstr>
      <vt:lpstr>HD_ROIC_30</vt:lpstr>
      <vt:lpstr>HD_ROIC_Peak</vt:lpstr>
      <vt:lpstr>HD_Stock</vt:lpstr>
      <vt:lpstr>HD_TG</vt:lpstr>
      <vt:lpstr>HD_Value_Today</vt:lpstr>
      <vt:lpstr>HD_Verdict</vt:lpstr>
      <vt:lpstr>Impl_EV_EBITDA</vt:lpstr>
      <vt:lpstr>Impl_Exit</vt:lpstr>
      <vt:lpstr>Impl_g</vt:lpstr>
      <vt:lpstr>Impl_HD_EV</vt:lpstr>
      <vt:lpstr>Impl_HD_Mult</vt:lpstr>
      <vt:lpstr>Impl_PE</vt:lpstr>
      <vt:lpstr>Justified_PE</vt:lpstr>
      <vt:lpstr>Kd</vt:lpstr>
      <vt:lpstr>Kd_AT</vt:lpstr>
      <vt:lpstr>Ke</vt:lpstr>
      <vt:lpstr>LBO_AdvFee</vt:lpstr>
      <vt:lpstr>LBO_Amort</vt:lpstr>
      <vt:lpstr>LBO_EBITDA0</vt:lpstr>
      <vt:lpstr>LBO_EBITDA5</vt:lpstr>
      <vt:lpstr>LBO_EntryMult</vt:lpstr>
      <vt:lpstr>LBO_EqPct</vt:lpstr>
      <vt:lpstr>LBO_EqPrice</vt:lpstr>
      <vt:lpstr>LBO_Equity0</vt:lpstr>
      <vt:lpstr>LBO_EV</vt:lpstr>
      <vt:lpstr>LBO_ExistCash</vt:lpstr>
      <vt:lpstr>LBO_ExitEq</vt:lpstr>
      <vt:lpstr>LBO_ExitEV</vt:lpstr>
      <vt:lpstr>LBO_ExitMult</vt:lpstr>
      <vt:lpstr>LBO_FinFee</vt:lpstr>
      <vt:lpstr>LBO_IRR</vt:lpstr>
      <vt:lpstr>LBO_MOIC</vt:lpstr>
      <vt:lpstr>LBO_ND5</vt:lpstr>
      <vt:lpstr>LBO_Notes</vt:lpstr>
      <vt:lpstr>LBO_Notes_Rate</vt:lpstr>
      <vt:lpstr>LBO_Notes_x</vt:lpstr>
      <vt:lpstr>LBO_OfferPx</vt:lpstr>
      <vt:lpstr>LBO_Premium</vt:lpstr>
      <vt:lpstr>LBO_Px20</vt:lpstr>
      <vt:lpstr>LBO_Px25</vt:lpstr>
      <vt:lpstr>LBO_RefiDebt</vt:lpstr>
      <vt:lpstr>LBO_Sources</vt:lpstr>
      <vt:lpstr>LBO_SrcCash</vt:lpstr>
      <vt:lpstr>LBO_Sweep</vt:lpstr>
      <vt:lpstr>LBO_TLB</vt:lpstr>
      <vt:lpstr>LBO_TLB_Spread</vt:lpstr>
      <vt:lpstr>LBO_TLB_x</vt:lpstr>
      <vt:lpstr>LBO_U_Cash</vt:lpstr>
      <vt:lpstr>LBO_U_Eq</vt:lpstr>
      <vt:lpstr>LBO_U_Fees</vt:lpstr>
      <vt:lpstr>LBO_U_Refi</vt:lpstr>
      <vt:lpstr>LBO_Uses</vt:lpstr>
      <vt:lpstr>LBO_VC_Check</vt:lpstr>
      <vt:lpstr>LBO_VC_Delev</vt:lpstr>
      <vt:lpstr>LBO_VC_EBITDA</vt:lpstr>
      <vt:lpstr>LBO_VC_Fees</vt:lpstr>
      <vt:lpstr>LBO_VC_Mult</vt:lpstr>
      <vt:lpstr>LTM_EBITDA</vt:lpstr>
      <vt:lpstr>M_A_Cash</vt:lpstr>
      <vt:lpstr>M_A_EPS</vt:lpstr>
      <vt:lpstr>M_A_MinCash</vt:lpstr>
      <vt:lpstr>M_A_NI</vt:lpstr>
      <vt:lpstr>M_A_PE</vt:lpstr>
      <vt:lpstr>M_A_Price</vt:lpstr>
      <vt:lpstr>M_A_Shares</vt:lpstr>
      <vt:lpstr>M_Accretion</vt:lpstr>
      <vt:lpstr>M_Amort_AT</vt:lpstr>
      <vt:lpstr>M_Breakeven</vt:lpstr>
      <vt:lpstr>M_CashNeed</vt:lpstr>
      <vt:lpstr>M_CashRate</vt:lpstr>
      <vt:lpstr>M_CashUsed</vt:lpstr>
      <vt:lpstr>M_DebtRate</vt:lpstr>
      <vt:lpstr>M_EqPrice</vt:lpstr>
      <vt:lpstr>M_Forgone_AT</vt:lpstr>
      <vt:lpstr>M_Int_AT</vt:lpstr>
      <vt:lpstr>M_NewDebt</vt:lpstr>
      <vt:lpstr>M_NewShares</vt:lpstr>
      <vt:lpstr>M_NI_Share</vt:lpstr>
      <vt:lpstr>M_OfferPx</vt:lpstr>
      <vt:lpstr>M_Own</vt:lpstr>
      <vt:lpstr>M_PctStock</vt:lpstr>
      <vt:lpstr>M_PF_EPS</vt:lpstr>
      <vt:lpstr>M_PF_NI</vt:lpstr>
      <vt:lpstr>M_PF_Shares</vt:lpstr>
      <vt:lpstr>M_PPA</vt:lpstr>
      <vt:lpstr>M_PPA_Life</vt:lpstr>
      <vt:lpstr>M_Premium</vt:lpstr>
      <vt:lpstr>M_Syn_AT</vt:lpstr>
      <vt:lpstr>M_Synergies</vt:lpstr>
      <vt:lpstr>M_T_NI</vt:lpstr>
      <vt:lpstr>M_T_PE</vt:lpstr>
      <vt:lpstr>M_Tax</vt:lpstr>
      <vt:lpstr>MarketEV</vt:lpstr>
      <vt:lpstr>MasterCheck</vt:lpstr>
      <vt:lpstr>MinCash</vt:lpstr>
      <vt:lpstr>MktCap</vt:lpstr>
      <vt:lpstr>N_End</vt:lpstr>
      <vt:lpstr>NTM_EPS</vt:lpstr>
      <vt:lpstr>Payout27</vt:lpstr>
      <vt:lpstr>Prec_High</vt:lpstr>
      <vt:lpstr>Prec_Low</vt:lpstr>
      <vt:lpstr>Prec_Value</vt:lpstr>
      <vt:lpstr>PriceGrowth</vt:lpstr>
      <vt:lpstr>PriceTarget</vt:lpstr>
      <vt:lpstr>BS!Print_Titles</vt:lpstr>
      <vt:lpstr>CF!Print_Titles</vt:lpstr>
      <vt:lpstr>Dashboard!Print_Titles</vt:lpstr>
      <vt:lpstr>DCF!Print_Titles</vt:lpstr>
      <vt:lpstr>Debt!Print_Titles</vt:lpstr>
      <vt:lpstr>Equity!Print_Titles</vt:lpstr>
      <vt:lpstr>Fixed_Assets!Print_Titles</vt:lpstr>
      <vt:lpstr>Hist!Print_Titles</vt:lpstr>
      <vt:lpstr>Inputs!Print_Titles</vt:lpstr>
      <vt:lpstr>IS!Print_Titles</vt:lpstr>
      <vt:lpstr>LBO_CF!Print_Titles</vt:lpstr>
      <vt:lpstr>NWC!Print_Titles</vt:lpstr>
      <vt:lpstr>Rev_Build!Print_Titles</vt:lpstr>
      <vt:lpstr>Tax!Print_Titles</vt:lpstr>
      <vt:lpstr>PT_Raw</vt:lpstr>
      <vt:lpstr>PT_Upside</vt:lpstr>
      <vt:lpstr>PTW_DCF</vt:lpstr>
      <vt:lpstr>PTW_EV</vt:lpstr>
      <vt:lpstr>PTW_PE</vt:lpstr>
      <vt:lpstr>PV_DTA</vt:lpstr>
      <vt:lpstr>PV_Explicit</vt:lpstr>
      <vt:lpstr>PV_TV</vt:lpstr>
      <vt:lpstr>Rating</vt:lpstr>
      <vt:lpstr>RDCF_Base_CAGR</vt:lpstr>
      <vt:lpstr>RDCF_CAGR</vt:lpstr>
      <vt:lpstr>RDCF_g</vt:lpstr>
      <vt:lpstr>RDCF_Shift</vt:lpstr>
      <vt:lpstr>RefiCoupon</vt:lpstr>
      <vt:lpstr>RefiSwitch</vt:lpstr>
      <vt:lpstr>RevolverCap</vt:lpstr>
      <vt:lpstr>RevolverSpread</vt:lpstr>
      <vt:lpstr>Rf</vt:lpstr>
      <vt:lpstr>RollFwd</vt:lpstr>
      <vt:lpstr>RSUIssuance</vt:lpstr>
      <vt:lpstr>Scenario</vt:lpstr>
      <vt:lpstr>Scenario_Select</vt:lpstr>
      <vt:lpstr>ScenarioOverride</vt:lpstr>
      <vt:lpstr>SharePrice</vt:lpstr>
      <vt:lpstr>SharesDil</vt:lpstr>
      <vt:lpstr>SharesOut</vt:lpstr>
      <vt:lpstr>SOTP_Corp</vt:lpstr>
      <vt:lpstr>SOTP_Crocs_EBITDA</vt:lpstr>
      <vt:lpstr>SOTP_EV</vt:lpstr>
      <vt:lpstr>SOTP_HD_EBITDA</vt:lpstr>
      <vt:lpstr>SOTP_M_Corp</vt:lpstr>
      <vt:lpstr>SOTP_M_Crocs</vt:lpstr>
      <vt:lpstr>SOTP_M_HD</vt:lpstr>
      <vt:lpstr>SynthRating</vt:lpstr>
      <vt:lpstr>TaxMarginal</vt:lpstr>
      <vt:lpstr>TaxTV</vt:lpstr>
      <vt:lpstr>TG</vt:lpstr>
      <vt:lpstr>TG_Base</vt:lpstr>
      <vt:lpstr>TG_Bear</vt:lpstr>
      <vt:lpstr>TG_Bull</vt:lpstr>
      <vt:lpstr>TLBSpread</vt:lpstr>
      <vt:lpstr>TLBSweep</vt:lpstr>
      <vt:lpstr>TV_Exit</vt:lpstr>
      <vt:lpstr>TV_Gordon</vt:lpstr>
      <vt:lpstr>TV_Share</vt:lpstr>
      <vt:lpstr>Upside</vt:lpstr>
      <vt:lpstr>UTP</vt:lpstr>
      <vt:lpstr>UTPPct</vt:lpstr>
      <vt:lpstr>ValuePerShare</vt:lpstr>
      <vt:lpstr>VPS_Exit</vt:lpstr>
      <vt:lpstr>VPS_FCFE</vt:lpstr>
      <vt:lpstr>VPS_JPE</vt:lpstr>
      <vt:lpstr>VPS_RI</vt:lpstr>
      <vt:lpstr>VPS_SOTP</vt:lpstr>
      <vt:lpstr>W_Base</vt:lpstr>
      <vt:lpstr>W_Bear</vt:lpstr>
      <vt:lpstr>W_Bull</vt:lpstr>
      <vt:lpstr>WACC</vt:lpstr>
      <vt:lpstr>Wd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Crocs, Inc. (CROX) - valuation model</dc:title>
  <dc:creator>Sidhant Thalor</dc:creator>
  <cp:lastModifiedBy>Sidhant Thalor</cp:lastModifiedBy>
  <dcterms:created xsi:type="dcterms:W3CDTF">2026-10-02T14:38:10Z</dcterms:created>
  <dcterms:modified xsi:type="dcterms:W3CDTF">2026-10-02T14:38:48Z</dcterms:modified>
</cp:coreProperties>
</file>